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AYUSHMAAN\UPDATED KIRO\"/>
    </mc:Choice>
  </mc:AlternateContent>
  <xr:revisionPtr revIDLastSave="0" documentId="13_ncr:1_{DC092BFB-D562-4162-8AA5-E0B0844FB0A7}" xr6:coauthVersionLast="47" xr6:coauthVersionMax="47" xr10:uidLastSave="{00000000-0000-0000-0000-000000000000}"/>
  <bookViews>
    <workbookView xWindow="-120" yWindow="-120" windowWidth="29040" windowHeight="15840" tabRatio="563" activeTab="1" xr2:uid="{00000000-000D-0000-FFFF-FFFF00000000}"/>
  </bookViews>
  <sheets>
    <sheet name="CAD DESIGNER REPORT" sheetId="2" r:id="rId1"/>
    <sheet name="CAD DATA SOURCE" sheetId="1" r:id="rId2"/>
    <sheet name="STATICS" sheetId="11" r:id="rId3"/>
  </sheets>
  <definedNames>
    <definedName name="RP">#REF!</definedName>
  </definedNames>
  <calcPr calcId="191029"/>
  <pivotCaches>
    <pivotCache cacheId="5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3" i="2" l="1"/>
  <c r="V6" i="2"/>
  <c r="X6" i="2" s="1"/>
  <c r="V8" i="2" l="1"/>
  <c r="X8" i="2" s="1"/>
  <c r="V10" i="2"/>
  <c r="X10" i="2" s="1"/>
  <c r="V7" i="2"/>
  <c r="X7" i="2" s="1"/>
  <c r="V11" i="2"/>
  <c r="X11" i="2" s="1"/>
  <c r="V12" i="2"/>
  <c r="X12" i="2" s="1"/>
  <c r="V5" i="2"/>
  <c r="V9" i="2"/>
  <c r="X9" i="2" s="1"/>
  <c r="X5" i="2" l="1"/>
  <c r="V13" i="2"/>
  <c r="X13" i="2" s="1"/>
</calcChain>
</file>

<file path=xl/sharedStrings.xml><?xml version="1.0" encoding="utf-8"?>
<sst xmlns="http://schemas.openxmlformats.org/spreadsheetml/2006/main" count="515" uniqueCount="119">
  <si>
    <t>S.no</t>
  </si>
  <si>
    <t>Order type</t>
  </si>
  <si>
    <t xml:space="preserve"> Designer</t>
  </si>
  <si>
    <t>Cad Designer</t>
  </si>
  <si>
    <t>Cad design no</t>
  </si>
  <si>
    <t>Collection name</t>
  </si>
  <si>
    <t>Project</t>
  </si>
  <si>
    <t>Product</t>
  </si>
  <si>
    <t>Nod</t>
  </si>
  <si>
    <t>Points</t>
  </si>
  <si>
    <t>Cam date</t>
  </si>
  <si>
    <t>Karat</t>
  </si>
  <si>
    <t>Dc/Die</t>
  </si>
  <si>
    <t>Status</t>
  </si>
  <si>
    <t>Cad location</t>
  </si>
  <si>
    <t>Grand Total</t>
  </si>
  <si>
    <t>EFF%</t>
  </si>
  <si>
    <t>Design qty</t>
  </si>
  <si>
    <t>Pts</t>
  </si>
  <si>
    <t xml:space="preserve">Cad designer </t>
  </si>
  <si>
    <t xml:space="preserve">Project wise </t>
  </si>
  <si>
    <t xml:space="preserve">Product wise </t>
  </si>
  <si>
    <t>Collection wise</t>
  </si>
  <si>
    <t>DESIGNER NAME</t>
  </si>
  <si>
    <t>LOCATION</t>
  </si>
  <si>
    <t>Collection wise (To cam)</t>
  </si>
  <si>
    <t xml:space="preserve"> </t>
  </si>
  <si>
    <t>Sum of Nod</t>
  </si>
  <si>
    <t>CUSTOMER</t>
  </si>
  <si>
    <t>PENDANT</t>
  </si>
  <si>
    <t>DC</t>
  </si>
  <si>
    <t>RING</t>
  </si>
  <si>
    <t>BRACELET</t>
  </si>
  <si>
    <t>STUD</t>
  </si>
  <si>
    <t>BANGLE</t>
  </si>
  <si>
    <t>CHAIN</t>
  </si>
  <si>
    <t>NECKLACE</t>
  </si>
  <si>
    <t>CROWN</t>
  </si>
  <si>
    <t>MUGAPPU</t>
  </si>
  <si>
    <t>TARGET</t>
  </si>
  <si>
    <t>CURRENT POINTS</t>
  </si>
  <si>
    <t>PERCENTAGE</t>
  </si>
  <si>
    <t>TIME TAKEN</t>
  </si>
  <si>
    <t>CAD DESIGNER</t>
  </si>
  <si>
    <t>KOL</t>
  </si>
  <si>
    <t>CAD REPORT-AUGUST-2026</t>
  </si>
  <si>
    <t>CAD</t>
  </si>
  <si>
    <t>DIE</t>
  </si>
  <si>
    <t>(blank)</t>
  </si>
  <si>
    <t>ARINDAM SARKAR</t>
  </si>
  <si>
    <t>RIYA CHATTERJEE</t>
  </si>
  <si>
    <t>SOUMYADIP GHOSH</t>
  </si>
  <si>
    <t>ANANYA SEN</t>
  </si>
  <si>
    <t>DEBASHIS MUKHERJEE</t>
  </si>
  <si>
    <t>SAYAN BHATTACHARYA</t>
  </si>
  <si>
    <t>MOU DAS</t>
  </si>
  <si>
    <t>ABHISHEK BANERJEE</t>
  </si>
  <si>
    <t>PRIYANKA ROY</t>
  </si>
  <si>
    <t>ARNAB BOSE</t>
  </si>
  <si>
    <t>RITAM CHAKRABORTY</t>
  </si>
  <si>
    <t>SNEHA MONDAL</t>
  </si>
  <si>
    <t>KAUSHIK DEY</t>
  </si>
  <si>
    <t>TANIA BHATTACHARYA</t>
  </si>
  <si>
    <t>ADITYA SENGUPTA</t>
  </si>
  <si>
    <t>NEW</t>
  </si>
  <si>
    <t>CAD-260801</t>
  </si>
  <si>
    <t>ROYAL BLOOM</t>
  </si>
  <si>
    <t>PROJECT A</t>
  </si>
  <si>
    <t>18K</t>
  </si>
  <si>
    <t>PENDING</t>
  </si>
  <si>
    <t>REPEAT</t>
  </si>
  <si>
    <t>CAD-260802</t>
  </si>
  <si>
    <t>ETERNAL</t>
  </si>
  <si>
    <t>PROJECT B</t>
  </si>
  <si>
    <t>22K</t>
  </si>
  <si>
    <t>COMPLETED</t>
  </si>
  <si>
    <t>CAD-260803</t>
  </si>
  <si>
    <t>LOTUS</t>
  </si>
  <si>
    <t>EARRING</t>
  </si>
  <si>
    <t>IN PROGRESS</t>
  </si>
  <si>
    <t>ALTERATION</t>
  </si>
  <si>
    <t>CAD-260804</t>
  </si>
  <si>
    <t>HERITAGE</t>
  </si>
  <si>
    <t>PROJECT C</t>
  </si>
  <si>
    <t>CAD-260805</t>
  </si>
  <si>
    <t>AURA</t>
  </si>
  <si>
    <t>CAD-260806</t>
  </si>
  <si>
    <t>CAD-260807</t>
  </si>
  <si>
    <t>CELESTIAL</t>
  </si>
  <si>
    <t>PROJECT D</t>
  </si>
  <si>
    <t>CAD-260808</t>
  </si>
  <si>
    <t>CAD-260809</t>
  </si>
  <si>
    <t>CAD-260810</t>
  </si>
  <si>
    <t>CAD-260811</t>
  </si>
  <si>
    <t>CAD-260812</t>
  </si>
  <si>
    <t>CAD-260813</t>
  </si>
  <si>
    <t>CAD-260814</t>
  </si>
  <si>
    <t>CAD-260815</t>
  </si>
  <si>
    <t>CAD-260816</t>
  </si>
  <si>
    <t>CAD-260817</t>
  </si>
  <si>
    <t>CAD-260818</t>
  </si>
  <si>
    <t>CAD-260819</t>
  </si>
  <si>
    <t>CAD-260820</t>
  </si>
  <si>
    <t>CAD-260821</t>
  </si>
  <si>
    <t>CAD-260822</t>
  </si>
  <si>
    <t>CAD-260823</t>
  </si>
  <si>
    <t>CAD-260824</t>
  </si>
  <si>
    <t>CAD-260825</t>
  </si>
  <si>
    <t>CAD-260826</t>
  </si>
  <si>
    <t>CAD-260827</t>
  </si>
  <si>
    <t>CAD-260828</t>
  </si>
  <si>
    <t>CAD-260829</t>
  </si>
  <si>
    <t>CAD-260830</t>
  </si>
  <si>
    <t>SPECIAL</t>
  </si>
  <si>
    <t>ITEMS</t>
  </si>
  <si>
    <t>TOTAL</t>
  </si>
  <si>
    <t>CHENNAI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</si>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</sst>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lgerian"/>
      <family val="5"/>
    </font>
    <font>
      <b/>
      <sz val="11"/>
      <color theme="1"/>
      <name val="Arial"/>
      <family val="2"/>
    </font>
    <font>
      <b/>
      <sz val="11"/>
      <color theme="0"/>
      <name val="Copperplate Gothic Bold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0" fontId="1" fillId="0" borderId="1" xfId="0" pivotButton="1" applyFont="1" applyBorder="1"/>
    <xf numFmtId="10" fontId="1" fillId="2" borderId="1" xfId="0" applyNumberFormat="1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0" fontId="1" fillId="4" borderId="1" xfId="0" applyNumberFormat="1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/>
    </xf>
    <xf numFmtId="10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2" fontId="1" fillId="10" borderId="11" xfId="0" applyNumberFormat="1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indent="1"/>
    </xf>
    <xf numFmtId="10" fontId="1" fillId="7" borderId="1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0" borderId="1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2" fontId="1" fillId="10" borderId="14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1ABE6E4-FE83-455D-8F51-F27453079587}"/>
  </cellStyles>
  <dxfs count="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theme="1"/>
        </right>
        <top style="thin">
          <color theme="1"/>
        </top>
      </border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wsim" refreshedDate="46277.423733912037" createdVersion="8" refreshedVersion="8" minRefreshableVersion="3" recordCount="30" xr:uid="{621172A6-04E2-4F50-8287-CDC8C98160CF}">
  <cacheSource type="worksheet">
    <worksheetSource name="Table1"/>
  </cacheSource>
  <cacheFields count="16">
    <cacheField name="S.no" numFmtId="0">
      <sharedItems containsSemiMixedTypes="0" containsString="0" containsNumber="1" containsInteger="1" minValue="1" maxValue="30"/>
    </cacheField>
    <cacheField name="Order type" numFmtId="0">
      <sharedItems/>
    </cacheField>
    <cacheField name=" Designer" numFmtId="0">
      <sharedItems/>
    </cacheField>
    <cacheField name="Cad Designer" numFmtId="0">
      <sharedItems containsBlank="1" count="51">
        <s v="SOUMYADIP GHOSH"/>
        <s v="ARNAB BOSE"/>
        <s v="ANANYA SEN"/>
        <s v="KAUSHIK DEY"/>
        <s v="PRIYANKA ROY"/>
        <s v="RITAM CHAKRABORTY"/>
        <s v="ADITYA SENGUPTA"/>
        <s v="DEBASHIS MUKHERJEE"/>
        <m u="1"/>
        <s v="RUPAM SANA" u="1"/>
        <s v="SUMAN BHANDARI" u="1"/>
        <s v="IMAN DAS" u="1"/>
        <s v="SURAJ KUMAR PARUI" u="1"/>
        <s v="SHUBHAJIT GHOSH" u="1"/>
        <s v="DEBANTA CHATTERJEE" u="1"/>
        <s v="SUBHRA DAS" u="1"/>
        <s v="GITAM DAS" u="1"/>
        <s v="TANMAY MONDAL" u="1"/>
        <s v="DEBASHIS POREL" u="1"/>
        <s v="PARNOTOSH ROY" u="1"/>
        <s v="MRINMOY BAR ( HOD )" u="1"/>
        <s v="SOMA PATRA" u="1"/>
        <s v="FAJLU KARIM MALLICK" u="1"/>
        <s v="MRINMOY BAR" u="1"/>
        <s v="MRINMOY BAR " u="1"/>
        <s v="SOUDIP" u="1"/>
        <s v="MRINMOY" u="1"/>
        <s v="GOKUL" u="1"/>
        <s v="SUBHRA" u="1"/>
        <s v="so" u="1"/>
        <s v="GUNASEKAR" u="1"/>
        <s v="Budhadeb das" u="1"/>
        <s v="NASIR" u="1"/>
        <s v="ALBAB" u="1"/>
        <s v="cam" u="1"/>
        <s v="BUDDHA DAS" u="1"/>
        <s v="BUDDHADAS" u="1"/>
        <s v="LALITHA " u="1"/>
        <s v=" " u="1"/>
        <s v="Mumbai" u="1"/>
        <s v="VIGNESH" u="1"/>
        <s v="ASIF ALI" u="1"/>
        <s v="Guna sekar" u="1"/>
        <s v="LALITHA" u="1"/>
        <s v="GOKULAKRISHNAN" u="1"/>
        <s v="Kolkata" u="1"/>
        <s v="Thayanithi" u="1"/>
        <s v="IMRAN" u="1"/>
        <s v="ASIF" u="1"/>
        <s v=" MRINMOY" u="1"/>
        <s v="SHS 810" u="1"/>
      </sharedItems>
    </cacheField>
    <cacheField name="Cad design no" numFmtId="0">
      <sharedItems/>
    </cacheField>
    <cacheField name="Collection name" numFmtId="0">
      <sharedItems containsBlank="1" count="152">
        <s v="ROYAL BLOOM"/>
        <s v="ETERNAL"/>
        <s v="LOTUS"/>
        <s v="HERITAGE"/>
        <s v="AURA"/>
        <s v="CELESTIAL"/>
        <m u="1"/>
        <s v="PENDANT" u="1"/>
        <s v="RING" u="1"/>
        <s v="BRACELET" u="1"/>
        <s v="NECKLACE" u="1"/>
        <s v="STUD" u="1"/>
        <s v="BANGLE" u="1"/>
        <s v="CHAIN" u="1"/>
        <s v="MUGAPPU" u="1"/>
        <s v="CROWN" u="1"/>
        <s v="BALLS " u="1"/>
        <s v="Luxsara collection" u="1"/>
        <s v="LOCK" u="1"/>
        <s v="Lather bracelet" u="1"/>
        <s v="Bello" u="1"/>
        <s v="Saudi" u="1"/>
        <s v="Vinsmera" u="1"/>
        <s v="Balls Chain" u="1"/>
        <s v="TENNIS BRACELET" u="1"/>
        <s v="BALAJI PENDENT" u="1"/>
        <s v="LETTER PENDENT" u="1"/>
        <s v="STUD " u="1"/>
        <s v="PENDENT  " u="1"/>
        <s v="Bafleh" u="1"/>
        <s v="CROSS PENDENT " u="1"/>
        <s v="BACK CHAIN" u="1"/>
        <s v="Leaf collection" u="1"/>
        <s v="S PNC " u="1"/>
        <s v="Varahi collection" u="1"/>
        <s v="STONE RING" u="1"/>
        <s v="navartna" u="1"/>
        <s v="Mini Luxsara" u="1"/>
        <s v="Vinsmera(karama)" u="1"/>
        <s v="Y flexi" u="1"/>
        <s v="Navaratna" u="1"/>
        <s v="Bugadi collection" u="1"/>
        <s v="HATHPOOL" u="1"/>
        <s v="BALAJI RING" u="1"/>
        <s v="BRACELET AND EARING" u="1"/>
        <s v="Zarset collection" u="1"/>
        <s v="FULL SET" u="1"/>
        <s v="STONE COLLET" u="1"/>
        <s v="FITTING " u="1"/>
        <s v="SAVITHRI RING" u="1"/>
        <s v="HALFSET" u="1"/>
        <s v="RAMAR PENDENT " u="1"/>
        <s v="FITTING" u="1"/>
        <s v="ISRA " u="1"/>
        <s v="BAHARAIN" u="1"/>
        <s v="CROSS RING" u="1"/>
        <s v="GOD PENDENT " u="1"/>
        <s v="NECKLES SET" u="1"/>
        <s v="Rail collection" u="1"/>
        <s v="Uncut necklace" u="1"/>
        <s v="MUGAPPU " u="1"/>
        <s v="LONGSET" u="1"/>
        <s v="GOD PENDENT" u="1"/>
        <s v="MONACO CHAIN" u="1"/>
        <s v="Trisool collection" u="1"/>
        <s v="Varahi" u="1"/>
        <s v="GENTS RING" u="1"/>
        <s v="MONACCO CHAIN " u="1"/>
        <s v="FLOWER" u="1"/>
        <s v="Y flexi collection" u="1"/>
        <s v="DOUBLE LOOP " u="1"/>
        <s v="Pathagam" u="1"/>
        <s v="Vinsmera (abu dhabi)" u="1"/>
        <s v="Vinsmera( abu dhabi)" u="1"/>
        <s v="NOS PIN" u="1"/>
        <s v="Saudi collection" u="1"/>
        <s v="STONE EARING" u="1"/>
        <s v="MONACCO BRACELET" u="1"/>
        <s v="Bugadi" u="1"/>
        <s v="EYE RING" u="1"/>
        <s v="NECKLES " u="1"/>
        <s v="RING " u="1"/>
        <s v="lapa" u="1"/>
        <s v="Lather bracelet collection" u="1"/>
        <s v="NECKLES" u="1"/>
        <s v="RAINBOW PENDENT" u="1"/>
        <s v="JUMKI" u="1"/>
        <s v="PENDENT SET" u="1"/>
        <s v="BALL NECK" u="1"/>
        <s v="BALAJI BRACELET" u="1"/>
        <s v="LADIES RING" u="1"/>
        <s v="BRACELET  " u="1"/>
        <s v="PENDANT SET" u="1"/>
        <s v="GOD MUGAPPU" u="1"/>
        <s v="Rainbow collection" u="1"/>
        <s v="EARING AND RING" u="1"/>
        <s v="Luxsara" u="1"/>
        <s v="EAGLE FITTING" u="1"/>
        <s v="GOD BRACELET" u="1"/>
        <s v="BALL " u="1"/>
        <s v="PEACOCK RING" u="1"/>
        <s v="EARING" u="1"/>
        <s v="NAVARATNA RING" u="1"/>
        <s v="Zarset" u="1"/>
        <s v="BAALI" u="1"/>
        <s v="BELT" u="1"/>
        <s v="CHOKER" u="1"/>
        <s v="Kada" u="1"/>
        <s v="CHAIN SET" u="1"/>
        <s v="THAALI" u="1"/>
        <s v="MOTHER MODEL" u="1"/>
        <s v="PENDENT " u="1"/>
        <s v="Vinsmera(Sharjah rolla)" u="1"/>
        <s v="PENDENT" u="1"/>
        <s v="Kiran collection" u="1"/>
        <s v="WEDDING RING" u="1"/>
        <s v="Normal kuwaity" u="1"/>
        <s v="18kt pendent set" u="1"/>
        <s v="LOCK " u="1"/>
        <s v="Iris" u="1"/>
        <s v="NOSEPIN" u="1"/>
        <s v="Rainbow" u="1"/>
        <s v="BRACELET " u="1"/>
        <s v="LONG SET" u="1"/>
        <s v="Couples ring" u="1"/>
        <s v="WEDDING BAND" u="1"/>
        <s v="CHAIN PCS " u="1"/>
        <s v="Vinsmera(karma)" u="1"/>
        <s v="Navartna collection" u="1"/>
        <s v="Vinsmera(rolla sharjah)" u="1"/>
        <s v="MONACCO CHAIN" u="1"/>
        <s v="Vinsmera(abu dhabi)" u="1"/>
        <s v="Rail" u="1"/>
        <s v="Trisool" u="1"/>
        <s v="NOSE PIN" u="1"/>
        <s v="Sample" u="1"/>
        <s v="GOD NECKLES " u="1"/>
        <s v="BAND RING" u="1"/>
        <s v="GOD RING " u="1"/>
        <s v="NAME LETTER" u="1"/>
        <s v="NOSPIN" u="1"/>
        <s v="Necklace Set" u="1"/>
        <s v="BALL" u="1"/>
        <s v="JUMKI " u="1"/>
        <s v="Customer order" u="1"/>
        <s v="DOUBLE LOOP PENDT" u="1"/>
        <s v="SINGLE STONE" u="1"/>
        <s v="NAME RING" u="1"/>
        <s v="GOD PCS" u="1"/>
        <s v="BANGLE " u="1"/>
        <s v="JUMKA " u="1"/>
        <s v="Chain Pcs" u="1"/>
      </sharedItems>
    </cacheField>
    <cacheField name="Project" numFmtId="0">
      <sharedItems containsBlank="1" count="21">
        <s v="PROJECT A"/>
        <s v="PROJECT B"/>
        <s v="PROJECT C"/>
        <s v="PROJECT D"/>
        <m u="1"/>
        <s v="DIVINE" u="1"/>
        <s v="PRECIOUS" u="1"/>
        <s v="UNCUT" u="1"/>
        <s v="KUWAITY" u="1"/>
        <s v="DIAMOND" u="1"/>
        <s v="S" u="1"/>
        <s v="EARING" u="1"/>
        <s v="KWAITY " u="1"/>
        <s v="Ball" u="1"/>
        <s v="KUWAITI" u="1"/>
        <s v="KWAITY" u="1"/>
        <s v="PRECIOUS " u="1"/>
        <s v="PRICIOUS" u="1"/>
        <s v="BALLS" u="1"/>
        <s v="BRACELET" u="1"/>
        <s v="CNC" u="1"/>
      </sharedItems>
    </cacheField>
    <cacheField name="Product" numFmtId="0">
      <sharedItems containsBlank="1" count="102">
        <s v="RING"/>
        <s v="NECKLACE"/>
        <s v="EARRING"/>
        <s v="BANGLE"/>
        <s v="BRACELET"/>
        <s v="PENDANT"/>
        <s v="CHAIN"/>
        <m u="1"/>
        <s v="STUD" u="1"/>
        <s v="MUGAPPU" u="1"/>
        <s v="CROWN" u="1"/>
        <s v="BALLS " u="1"/>
        <s v="LOCK" u="1"/>
        <s v="Balls Chain" u="1"/>
        <s v="TENNIS BRACELET" u="1"/>
        <s v="BALAJI PENDENT" u="1"/>
        <s v="LETTER PENDENT" u="1"/>
        <s v="STUD " u="1"/>
        <s v="BACK CHAIN" u="1"/>
        <s v="S PNC " u="1"/>
        <s v="STONE RING" u="1"/>
        <s v="COLLET" u="1"/>
        <s v="HATHPOOL" u="1"/>
        <s v="BALAJI RING" u="1"/>
        <s v="NOSE PIN " u="1"/>
        <s v="BRACELET AND EARING" u="1"/>
        <s v="Full set" u="1"/>
        <s v="SAVITHRI RING" u="1"/>
        <s v="HALFSET" u="1"/>
        <s v="BALL SET" u="1"/>
        <s v="FITTING" u="1"/>
        <s v="ISRA " u="1"/>
        <s v="CROSS RING" u="1"/>
        <s v="DIVINE" u="1"/>
        <s v="NECKLES SET" u="1"/>
        <s v="Jhumka" u="1"/>
        <s v="LONGSET" u="1"/>
        <s v="GOD PENDENT" u="1"/>
        <s v="MONACO CHAIN" u="1"/>
        <s v="GENTS RING" u="1"/>
        <s v="MONACCO CHAIN " u="1"/>
        <s v="FLOWER" u="1"/>
        <s v="NOS PIN" u="1"/>
        <s v="STONE EARING" u="1"/>
        <s v="MONACCO BRACELET" u="1"/>
        <s v="DOUBLE LOOP" u="1"/>
        <s v="God Ring" u="1"/>
        <s v="EYE RING" u="1"/>
        <s v="NECKLES " u="1"/>
        <s v="NECKLES" u="1"/>
        <s v="RAINBOW PENDENT" u="1"/>
        <s v="JUMKI" u="1"/>
        <s v="PENDENT SET" u="1"/>
        <s v="BALAJI BRACELET" u="1"/>
        <s v="LADIES RING" u="1"/>
        <s v="CROSS PENDENT" u="1"/>
        <s v="Navartna necklace" u="1"/>
        <s v="PENDANT SET" u="1"/>
        <s v="GOD MUGAPPU" u="1"/>
        <s v="EARING AND RING" u="1"/>
        <s v="JUMKA" u="1"/>
        <s v="GOD BRACELET" u="1"/>
        <s v="necklace " u="1"/>
        <s v="PEACOCK RING" u="1"/>
        <s v="EARING" u="1"/>
        <s v="BALLS" u="1"/>
        <s v=" PENDENT SET" u="1"/>
        <s v="NAVARATNA RING" u="1"/>
        <s v="BAALI" u="1"/>
        <s v="BELT" u="1"/>
        <s v="CHOKER" u="1"/>
        <s v="CHAIN SET" u="1"/>
        <s v="RAMAR PENDENT" u="1"/>
        <s v="THAALI" u="1"/>
        <s v="MOTHER MODEL" u="1"/>
        <s v="PENDENT " u="1"/>
        <s v="PENDENT" u="1"/>
        <s v="WEDDING RING" u="1"/>
        <s v="LOCK " u="1"/>
        <s v="NOSEPIN" u="1"/>
        <s v="LONG SET" u="1"/>
        <s v="muguppu" u="1"/>
        <s v="WEDDING BAND" u="1"/>
        <s v="FULLSET" u="1"/>
        <s v="MONACCO CHAIN" u="1"/>
        <s v="Nose pin" u="1"/>
        <s v="GOD NECKLES " u="1"/>
        <s v="NAME LETTER" u="1"/>
        <s v=" " u="1"/>
        <s v="NOSPIN" u="1"/>
        <s v="Necklace Set" u="1"/>
        <s v="BALL" u="1"/>
        <s v="DOUBLE LOOP PENDT" u="1"/>
        <s v=" Pendent" u="1"/>
        <s v="c" u="1"/>
        <s v="SINGLE STONE" u="1"/>
        <s v="Bangle lock" u="1"/>
        <s v="NAME RING" u="1"/>
        <s v="GOD PCS" u="1"/>
        <s v="BANGLE " u="1"/>
        <s v="LEAF RING" u="1"/>
        <s v="CHAIN PCS" u="1"/>
      </sharedItems>
    </cacheField>
    <cacheField name="Nod" numFmtId="0">
      <sharedItems containsSemiMixedTypes="0" containsString="0" containsNumber="1" containsInteger="1" minValue="1" maxValue="3"/>
    </cacheField>
    <cacheField name="Points" numFmtId="0">
      <sharedItems containsSemiMixedTypes="0" containsString="0" containsNumber="1" minValue="2" maxValue="2.5"/>
    </cacheField>
    <cacheField name="Cam date" numFmtId="14">
      <sharedItems containsSemiMixedTypes="0" containsNonDate="0" containsDate="1" containsString="0" minDate="2026-08-01T00:00:00" maxDate="2026-08-17T00:00:00"/>
    </cacheField>
    <cacheField name="Karat" numFmtId="0">
      <sharedItems/>
    </cacheField>
    <cacheField name="Dc/Die" numFmtId="0">
      <sharedItems/>
    </cacheField>
    <cacheField name="Status" numFmtId="0">
      <sharedItems/>
    </cacheField>
    <cacheField name="TIME TAKEN" numFmtId="0">
      <sharedItems containsNonDate="0" containsString="0" containsBlank="1"/>
    </cacheField>
    <cacheField name="Cad location" numFmtId="0">
      <sharedItems containsNonDate="0" containsBlank="1" count="10">
        <m/>
        <s v="KANNUR" u="1"/>
        <s v="SHARJAH" u="1"/>
        <s v="KOLKATA" u="1"/>
        <s v="DUBAI" u="1"/>
        <s v="Mum" u="1"/>
        <e v="#N/A" u="1"/>
        <s v="DXB" u="1"/>
        <s v="  " u="1"/>
        <s v="Ko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CUSTOMER"/>
    <s v="NEW"/>
    <x v="0"/>
    <s v="CAD-260801"/>
    <x v="0"/>
    <x v="0"/>
    <x v="0"/>
    <n v="2"/>
    <n v="2.1"/>
    <d v="2026-08-01T00:00:00"/>
    <s v="18K"/>
    <s v="DC"/>
    <s v="PENDING"/>
    <m/>
    <x v="0"/>
  </r>
  <r>
    <n v="2"/>
    <s v="CUSTOMER"/>
    <s v="REPEAT"/>
    <x v="1"/>
    <s v="CAD-260802"/>
    <x v="1"/>
    <x v="1"/>
    <x v="1"/>
    <n v="1"/>
    <n v="2.4"/>
    <d v="2026-08-01T00:00:00"/>
    <s v="22K"/>
    <s v="DIE"/>
    <s v="COMPLETED"/>
    <m/>
    <x v="0"/>
  </r>
  <r>
    <n v="3"/>
    <s v="CUSTOMER"/>
    <s v="NEW"/>
    <x v="2"/>
    <s v="CAD-260803"/>
    <x v="2"/>
    <x v="0"/>
    <x v="2"/>
    <n v="2"/>
    <n v="2.2000000000000002"/>
    <d v="2026-08-02T00:00:00"/>
    <s v="18K"/>
    <s v="DC"/>
    <s v="IN PROGRESS"/>
    <m/>
    <x v="0"/>
  </r>
  <r>
    <n v="4"/>
    <s v="CUSTOMER"/>
    <s v="ALTERATION"/>
    <x v="3"/>
    <s v="CAD-260804"/>
    <x v="3"/>
    <x v="2"/>
    <x v="3"/>
    <n v="1"/>
    <n v="2"/>
    <d v="2026-08-02T00:00:00"/>
    <s v="22K"/>
    <s v="DC"/>
    <s v="PENDING"/>
    <m/>
    <x v="0"/>
  </r>
  <r>
    <n v="5"/>
    <s v="CUSTOMER"/>
    <s v="NEW"/>
    <x v="4"/>
    <s v="CAD-260805"/>
    <x v="4"/>
    <x v="1"/>
    <x v="0"/>
    <n v="3"/>
    <n v="2.2999999999999998"/>
    <d v="2026-08-03T00:00:00"/>
    <s v="18K"/>
    <s v="DIE"/>
    <s v="COMPLETED"/>
    <m/>
    <x v="0"/>
  </r>
  <r>
    <n v="6"/>
    <s v="CUSTOMER"/>
    <s v="REPEAT"/>
    <x v="5"/>
    <s v="CAD-260806"/>
    <x v="0"/>
    <x v="0"/>
    <x v="4"/>
    <n v="2"/>
    <n v="2.5"/>
    <d v="2026-08-03T00:00:00"/>
    <s v="22K"/>
    <s v="DC"/>
    <s v="IN PROGRESS"/>
    <m/>
    <x v="0"/>
  </r>
  <r>
    <n v="7"/>
    <s v="CUSTOMER"/>
    <s v="NEW"/>
    <x v="6"/>
    <s v="CAD-260807"/>
    <x v="5"/>
    <x v="3"/>
    <x v="5"/>
    <n v="1"/>
    <n v="2.1"/>
    <d v="2026-08-04T00:00:00"/>
    <s v="18K"/>
    <s v="DIE"/>
    <s v="PENDING"/>
    <m/>
    <x v="0"/>
  </r>
  <r>
    <n v="8"/>
    <s v="CUSTOMER"/>
    <s v="ALTERATION"/>
    <x v="7"/>
    <s v="CAD-260808"/>
    <x v="1"/>
    <x v="2"/>
    <x v="0"/>
    <n v="2"/>
    <n v="2.4"/>
    <d v="2026-08-04T00:00:00"/>
    <s v="22K"/>
    <s v="DC"/>
    <s v="COMPLETED"/>
    <m/>
    <x v="0"/>
  </r>
  <r>
    <n v="9"/>
    <s v="CUSTOMER"/>
    <s v="NEW"/>
    <x v="0"/>
    <s v="CAD-260809"/>
    <x v="2"/>
    <x v="0"/>
    <x v="6"/>
    <n v="1"/>
    <n v="2.2000000000000002"/>
    <d v="2026-08-05T00:00:00"/>
    <s v="18K"/>
    <s v="DC"/>
    <s v="IN PROGRESS"/>
    <m/>
    <x v="0"/>
  </r>
  <r>
    <n v="10"/>
    <s v="SPECIAL"/>
    <s v="REPEAT"/>
    <x v="2"/>
    <s v="CAD-260810"/>
    <x v="3"/>
    <x v="1"/>
    <x v="2"/>
    <n v="2"/>
    <n v="2"/>
    <d v="2026-08-05T00:00:00"/>
    <s v="22K"/>
    <s v="DIE"/>
    <s v="COMPLETED"/>
    <m/>
    <x v="0"/>
  </r>
  <r>
    <n v="11"/>
    <s v="CUSTOMER"/>
    <s v="NEW"/>
    <x v="1"/>
    <s v="CAD-260811"/>
    <x v="4"/>
    <x v="3"/>
    <x v="0"/>
    <n v="1"/>
    <n v="2.2999999999999998"/>
    <d v="2026-08-06T00:00:00"/>
    <s v="18K"/>
    <s v="DC"/>
    <s v="PENDING"/>
    <m/>
    <x v="0"/>
  </r>
  <r>
    <n v="12"/>
    <s v="CUSTOMER"/>
    <s v="REPEAT"/>
    <x v="3"/>
    <s v="CAD-260812"/>
    <x v="0"/>
    <x v="2"/>
    <x v="3"/>
    <n v="2"/>
    <n v="2.5"/>
    <d v="2026-08-06T00:00:00"/>
    <s v="22K"/>
    <s v="DIE"/>
    <s v="IN PROGRESS"/>
    <m/>
    <x v="0"/>
  </r>
  <r>
    <n v="13"/>
    <s v="CUSTOMER"/>
    <s v="NEW"/>
    <x v="5"/>
    <s v="CAD-260813"/>
    <x v="5"/>
    <x v="0"/>
    <x v="5"/>
    <n v="1"/>
    <n v="2.1"/>
    <d v="2026-08-07T00:00:00"/>
    <s v="18K"/>
    <s v="DC"/>
    <s v="COMPLETED"/>
    <m/>
    <x v="0"/>
  </r>
  <r>
    <n v="14"/>
    <s v="SPECIAL"/>
    <s v="ALTERATION"/>
    <x v="6"/>
    <s v="CAD-260814"/>
    <x v="1"/>
    <x v="1"/>
    <x v="4"/>
    <n v="2"/>
    <n v="2.4"/>
    <d v="2026-08-07T00:00:00"/>
    <s v="22K"/>
    <s v="DC"/>
    <s v="PENDING"/>
    <m/>
    <x v="0"/>
  </r>
  <r>
    <n v="15"/>
    <s v="CUSTOMER"/>
    <s v="NEW"/>
    <x v="7"/>
    <s v="CAD-260815"/>
    <x v="2"/>
    <x v="3"/>
    <x v="0"/>
    <n v="3"/>
    <n v="2.2000000000000002"/>
    <d v="2026-08-08T00:00:00"/>
    <s v="18K"/>
    <s v="DIE"/>
    <s v="COMPLETED"/>
    <m/>
    <x v="0"/>
  </r>
  <r>
    <n v="16"/>
    <s v="SPECIAL"/>
    <s v="REPEAT"/>
    <x v="0"/>
    <s v="CAD-260816"/>
    <x v="3"/>
    <x v="2"/>
    <x v="1"/>
    <n v="1"/>
    <n v="2.2999999999999998"/>
    <d v="2026-08-08T00:00:00"/>
    <s v="22K"/>
    <s v="DC"/>
    <s v="IN PROGRESS"/>
    <m/>
    <x v="0"/>
  </r>
  <r>
    <n v="17"/>
    <s v="CUSTOMER"/>
    <s v="NEW"/>
    <x v="1"/>
    <s v="CAD-260817"/>
    <x v="4"/>
    <x v="0"/>
    <x v="2"/>
    <n v="2"/>
    <n v="2.5"/>
    <d v="2026-08-09T00:00:00"/>
    <s v="18K"/>
    <s v="DIE"/>
    <s v="PENDING"/>
    <m/>
    <x v="0"/>
  </r>
  <r>
    <n v="18"/>
    <s v="CUSTOMER"/>
    <s v="NEW"/>
    <x v="2"/>
    <s v="CAD-260818"/>
    <x v="0"/>
    <x v="1"/>
    <x v="0"/>
    <n v="1"/>
    <n v="2.1"/>
    <d v="2026-08-10T00:00:00"/>
    <s v="22K"/>
    <s v="DC"/>
    <s v="COMPLETED"/>
    <m/>
    <x v="0"/>
  </r>
  <r>
    <n v="19"/>
    <s v="CUSTOMER"/>
    <s v="REPEAT"/>
    <x v="3"/>
    <s v="CAD-260819"/>
    <x v="5"/>
    <x v="3"/>
    <x v="4"/>
    <n v="2"/>
    <n v="2.4"/>
    <d v="2026-08-10T00:00:00"/>
    <s v="18K"/>
    <s v="DIE"/>
    <s v="IN PROGRESS"/>
    <m/>
    <x v="0"/>
  </r>
  <r>
    <n v="20"/>
    <s v="SPECIAL"/>
    <s v="ALTERATION"/>
    <x v="5"/>
    <s v="CAD-260820"/>
    <x v="1"/>
    <x v="2"/>
    <x v="5"/>
    <n v="1"/>
    <n v="2.2000000000000002"/>
    <d v="2026-08-11T00:00:00"/>
    <s v="22K"/>
    <s v="DC"/>
    <s v="PENDING"/>
    <m/>
    <x v="0"/>
  </r>
  <r>
    <n v="21"/>
    <s v="CUSTOMER"/>
    <s v="NEW"/>
    <x v="6"/>
    <s v="CAD-260821"/>
    <x v="2"/>
    <x v="0"/>
    <x v="3"/>
    <n v="2"/>
    <n v="2"/>
    <d v="2026-08-11T00:00:00"/>
    <s v="18K"/>
    <s v="DIE"/>
    <s v="COMPLETED"/>
    <m/>
    <x v="0"/>
  </r>
  <r>
    <n v="22"/>
    <s v="CUSTOMER"/>
    <s v="REPEAT"/>
    <x v="7"/>
    <s v="CAD-260822"/>
    <x v="3"/>
    <x v="1"/>
    <x v="0"/>
    <n v="1"/>
    <n v="2.2999999999999998"/>
    <d v="2026-08-12T00:00:00"/>
    <s v="22K"/>
    <s v="DC"/>
    <s v="IN PROGRESS"/>
    <m/>
    <x v="0"/>
  </r>
  <r>
    <n v="23"/>
    <s v="SPECIAL"/>
    <s v="NEW"/>
    <x v="0"/>
    <s v="CAD-260823"/>
    <x v="4"/>
    <x v="3"/>
    <x v="1"/>
    <n v="2"/>
    <n v="2.5"/>
    <d v="2026-08-12T00:00:00"/>
    <s v="18K"/>
    <s v="DC"/>
    <s v="PENDING"/>
    <m/>
    <x v="0"/>
  </r>
  <r>
    <n v="24"/>
    <s v="SPECIAL"/>
    <s v="NEW"/>
    <x v="2"/>
    <s v="CAD-260824"/>
    <x v="0"/>
    <x v="2"/>
    <x v="2"/>
    <n v="1"/>
    <n v="2.1"/>
    <d v="2026-08-13T00:00:00"/>
    <s v="22K"/>
    <s v="DIE"/>
    <s v="COMPLETED"/>
    <m/>
    <x v="0"/>
  </r>
  <r>
    <n v="25"/>
    <s v="CUSTOMER"/>
    <s v="REPEAT"/>
    <x v="1"/>
    <s v="CAD-260825"/>
    <x v="5"/>
    <x v="0"/>
    <x v="0"/>
    <n v="3"/>
    <n v="2.4"/>
    <d v="2026-08-13T00:00:00"/>
    <s v="18K"/>
    <s v="DC"/>
    <s v="IN PROGRESS"/>
    <m/>
    <x v="0"/>
  </r>
  <r>
    <n v="26"/>
    <s v="CUSTOMER"/>
    <s v="ALTERATION"/>
    <x v="3"/>
    <s v="CAD-260826"/>
    <x v="1"/>
    <x v="1"/>
    <x v="4"/>
    <n v="2"/>
    <n v="2.2000000000000002"/>
    <d v="2026-08-14T00:00:00"/>
    <s v="22K"/>
    <s v="DIE"/>
    <s v="PENDING"/>
    <m/>
    <x v="0"/>
  </r>
  <r>
    <n v="27"/>
    <s v="CUSTOMER"/>
    <s v="NEW"/>
    <x v="5"/>
    <s v="CAD-260827"/>
    <x v="3"/>
    <x v="3"/>
    <x v="5"/>
    <n v="1"/>
    <n v="2.2999999999999998"/>
    <d v="2026-08-15T00:00:00"/>
    <s v="18K"/>
    <s v="DC"/>
    <s v="COMPLETED"/>
    <m/>
    <x v="0"/>
  </r>
  <r>
    <n v="28"/>
    <s v="CUSTOMER"/>
    <s v="REPEAT"/>
    <x v="6"/>
    <s v="CAD-260828"/>
    <x v="2"/>
    <x v="2"/>
    <x v="6"/>
    <n v="2"/>
    <n v="2.5"/>
    <d v="2026-08-15T00:00:00"/>
    <s v="22K"/>
    <s v="DC"/>
    <s v="IN PROGRESS"/>
    <m/>
    <x v="0"/>
  </r>
  <r>
    <n v="29"/>
    <s v="CUSTOMER"/>
    <s v="NEW"/>
    <x v="7"/>
    <s v="CAD-260829"/>
    <x v="4"/>
    <x v="0"/>
    <x v="0"/>
    <n v="1"/>
    <n v="2.1"/>
    <d v="2026-08-16T00:00:00"/>
    <s v="18K"/>
    <s v="DIE"/>
    <s v="PENDING"/>
    <m/>
    <x v="0"/>
  </r>
  <r>
    <n v="30"/>
    <s v="CUSTOMER"/>
    <s v="NEW"/>
    <x v="0"/>
    <s v="CAD-260830"/>
    <x v="0"/>
    <x v="1"/>
    <x v="3"/>
    <n v="2"/>
    <n v="2.4"/>
    <d v="2026-08-16T00:00:00"/>
    <s v="22K"/>
    <s v="DC"/>
    <s v="COMPLETED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3CDCE-C448-4241-B4D5-7D707382AA3D}" name="PivotTable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d designer ">
  <location ref="K4:N25" firstHeaderRow="0" firstDataRow="1" firstDataCol="1" rowPageCount="1" colPageCount="1"/>
  <pivotFields count="16">
    <pivotField showAll="0"/>
    <pivotField showAll="0"/>
    <pivotField showAll="0"/>
    <pivotField showAll="0">
      <items count="52">
        <item h="1" m="1" x="8"/>
        <item m="1" x="33"/>
        <item h="1" m="1" x="25"/>
        <item h="1" m="1" x="46"/>
        <item h="1" m="1" x="32"/>
        <item h="1" m="1" x="47"/>
        <item h="1" m="1" x="42"/>
        <item h="1" m="1" x="31"/>
        <item h="1" m="1" x="40"/>
        <item h="1" m="1" x="43"/>
        <item h="1" m="1" x="45"/>
        <item h="1" m="1" x="48"/>
        <item h="1" m="1" x="29"/>
        <item h="1" m="1" x="39"/>
        <item h="1" m="1" x="26"/>
        <item h="1" m="1" x="27"/>
        <item h="1" m="1" x="34"/>
        <item h="1" m="1" x="30"/>
        <item h="1" m="1" x="36"/>
        <item h="1" m="1" x="41"/>
        <item h="1" m="1" x="44"/>
        <item h="1" m="1" x="35"/>
        <item h="1" m="1" x="37"/>
        <item h="1" m="1" x="50"/>
        <item h="1" m="1" x="49"/>
        <item h="1" m="1" x="12"/>
        <item h="1" m="1" x="28"/>
        <item h="1" m="1" x="15"/>
        <item h="1" m="1" x="14"/>
        <item h="1" m="1" x="17"/>
        <item h="1" m="1" x="9"/>
        <item h="1" m="1" x="16"/>
        <item h="1" m="1" x="11"/>
        <item h="1" m="1" x="19"/>
        <item h="1" m="1" x="10"/>
        <item h="1" m="1" x="22"/>
        <item h="1" m="1" x="13"/>
        <item h="1" m="1" x="23"/>
        <item h="1" m="1" x="24"/>
        <item h="1" m="1" x="38"/>
        <item h="1" m="1" x="20"/>
        <item h="1" m="1" x="18"/>
        <item h="1" m="1" x="21"/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axis="axisRow" showAll="0" sortType="descending">
      <items count="153">
        <item m="1" x="38"/>
        <item m="1" x="6"/>
        <item m="1" x="112"/>
        <item m="1" x="144"/>
        <item m="1" x="22"/>
        <item m="1" x="19"/>
        <item m="1" x="132"/>
        <item m="1" x="65"/>
        <item m="1" x="103"/>
        <item m="1" x="72"/>
        <item m="1" x="78"/>
        <item m="1" x="131"/>
        <item m="1" x="73"/>
        <item m="1" x="129"/>
        <item m="1" x="21"/>
        <item m="1" x="96"/>
        <item m="1" x="39"/>
        <item m="1" x="121"/>
        <item m="1" x="36"/>
        <item m="1" x="133"/>
        <item m="1" x="127"/>
        <item m="1" x="128"/>
        <item m="1" x="83"/>
        <item m="1" x="58"/>
        <item m="1" x="34"/>
        <item m="1" x="45"/>
        <item m="1" x="41"/>
        <item m="1" x="75"/>
        <item m="1" x="17"/>
        <item m="1" x="69"/>
        <item m="1" x="94"/>
        <item m="1" x="64"/>
        <item m="1" x="59"/>
        <item m="1" x="116"/>
        <item m="1" x="135"/>
        <item m="1" x="32"/>
        <item m="1" x="114"/>
        <item m="1" x="71"/>
        <item m="1" x="37"/>
        <item m="1" x="20"/>
        <item m="1" x="119"/>
        <item m="1" x="29"/>
        <item m="1" x="107"/>
        <item m="1" x="117"/>
        <item m="1" x="11"/>
        <item m="1" x="124"/>
        <item m="1" x="9"/>
        <item m="1" x="82"/>
        <item m="1" x="10"/>
        <item m="1" x="113"/>
        <item m="1" x="40"/>
        <item m="1" x="23"/>
        <item m="1" x="70"/>
        <item m="1" x="12"/>
        <item m="1" x="8"/>
        <item m="1" x="14"/>
        <item m="1" x="47"/>
        <item m="1" x="101"/>
        <item m="1" x="61"/>
        <item m="1" x="151"/>
        <item m="1" x="87"/>
        <item m="1" x="111"/>
        <item m="1" x="62"/>
        <item m="1" x="33"/>
        <item m="1" x="141"/>
        <item m="1" x="31"/>
        <item m="1" x="84"/>
        <item m="1" x="57"/>
        <item m="1" x="68"/>
        <item m="1" x="110"/>
        <item m="1" x="138"/>
        <item m="1" x="55"/>
        <item m="1" x="137"/>
        <item m="1" x="93"/>
        <item m="1" x="54"/>
        <item m="1" x="118"/>
        <item m="1" x="130"/>
        <item m="1" x="52"/>
        <item m="1" x="77"/>
        <item m="1" x="42"/>
        <item m="1" x="85"/>
        <item m="1" x="106"/>
        <item m="1" x="120"/>
        <item m="1" x="46"/>
        <item m="1" x="80"/>
        <item m="1" x="66"/>
        <item m="1" x="76"/>
        <item m="1" x="28"/>
        <item m="1" x="115"/>
        <item m="1" x="100"/>
        <item m="1" x="16"/>
        <item m="1" x="88"/>
        <item m="1" x="149"/>
        <item m="1" x="97"/>
        <item m="1" x="35"/>
        <item m="1" x="81"/>
        <item m="1" x="86"/>
        <item m="1" x="134"/>
        <item m="1" x="145"/>
        <item m="1" x="136"/>
        <item m="1" x="123"/>
        <item m="1" x="18"/>
        <item m="1" x="67"/>
        <item m="1" x="13"/>
        <item m="1" x="56"/>
        <item m="1" x="26"/>
        <item m="1" x="53"/>
        <item m="1" x="104"/>
        <item m="1" x="60"/>
        <item m="1" x="89"/>
        <item m="1" x="95"/>
        <item m="1" x="109"/>
        <item m="1" x="90"/>
        <item m="1" x="79"/>
        <item m="1" x="143"/>
        <item m="1" x="49"/>
        <item m="1" x="102"/>
        <item m="1" x="147"/>
        <item m="1" x="24"/>
        <item m="1" x="44"/>
        <item m="1" x="91"/>
        <item m="1" x="122"/>
        <item m="1" x="51"/>
        <item m="1" x="48"/>
        <item m="1" x="108"/>
        <item m="1" x="63"/>
        <item m="1" x="125"/>
        <item m="1" x="25"/>
        <item m="1" x="99"/>
        <item m="1" x="43"/>
        <item m="1" x="30"/>
        <item m="1" x="148"/>
        <item m="1" x="27"/>
        <item m="1" x="146"/>
        <item m="1" x="98"/>
        <item m="1" x="150"/>
        <item m="1" x="50"/>
        <item m="1" x="139"/>
        <item m="1" x="126"/>
        <item m="1" x="7"/>
        <item m="1" x="92"/>
        <item m="1" x="74"/>
        <item m="1" x="142"/>
        <item m="1" x="105"/>
        <item m="1" x="140"/>
        <item m="1" x="15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howAll="0">
      <items count="22">
        <item m="1" x="13"/>
        <item m="1" x="9"/>
        <item m="1" x="5"/>
        <item m="1" x="8"/>
        <item m="1" x="6"/>
        <item m="1" x="7"/>
        <item m="1" x="4"/>
        <item m="1" x="10"/>
        <item m="1" x="15"/>
        <item m="1" x="20"/>
        <item m="1" x="18"/>
        <item m="1" x="16"/>
        <item m="1" x="12"/>
        <item m="1" x="11"/>
        <item m="1" x="14"/>
        <item m="1" x="17"/>
        <item m="1" x="19"/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m="1" x="7"/>
        <item h="1" m="1" x="9"/>
        <item h="1" m="1" x="6"/>
        <item h="1" m="1" x="5"/>
        <item x="0"/>
        <item m="1" x="4"/>
        <item h="1" m="1" x="8"/>
        <item m="1" x="3"/>
        <item m="1" x="1"/>
        <item m="1" x="2"/>
        <item t="default"/>
      </items>
    </pivotField>
  </pivotFields>
  <rowFields count="2">
    <field x="6"/>
    <field x="5"/>
  </rowFields>
  <rowItems count="21">
    <i>
      <x v="17"/>
    </i>
    <i r="1">
      <x v="148"/>
    </i>
    <i r="1">
      <x v="146"/>
    </i>
    <i r="1">
      <x v="150"/>
    </i>
    <i r="1">
      <x v="151"/>
    </i>
    <i>
      <x v="18"/>
    </i>
    <i r="1">
      <x v="147"/>
    </i>
    <i r="1">
      <x v="146"/>
    </i>
    <i r="1">
      <x v="149"/>
    </i>
    <i r="1">
      <x v="150"/>
    </i>
    <i>
      <x v="19"/>
    </i>
    <i r="1">
      <x v="146"/>
    </i>
    <i r="1">
      <x v="147"/>
    </i>
    <i r="1">
      <x v="149"/>
    </i>
    <i r="1">
      <x v="148"/>
    </i>
    <i>
      <x v="20"/>
    </i>
    <i r="1">
      <x v="150"/>
    </i>
    <i r="1">
      <x v="151"/>
    </i>
    <i r="1">
      <x v="149"/>
    </i>
    <i r="1">
      <x v="14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Design qty" fld="8" baseField="3" baseItem="0"/>
    <dataField name="Pts" fld="9" baseField="3" baseItem="0"/>
    <dataField name="EFF%" fld="9" showDataAs="percentOfCol" baseField="3" baseItem="0" numFmtId="10"/>
  </dataFields>
  <formats count="32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3" type="button" dataOnly="0" labelOnly="1" outline="0"/>
    </format>
    <format dxfId="90">
      <pivotArea dataOnly="0" labelOnly="1" grandRow="1" outline="0" fieldPosition="0"/>
    </format>
    <format dxfId="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8">
      <pivotArea outline="0" fieldPosition="0">
        <references count="1">
          <reference field="4294967294" count="1">
            <x v="2"/>
          </reference>
        </references>
      </pivotArea>
    </format>
    <format dxfId="87">
      <pivotArea collapsedLevelsAreSubtotals="1" fieldPosition="0">
        <references count="1">
          <reference field="5" count="0"/>
        </references>
      </pivotArea>
    </format>
    <format dxfId="86">
      <pivotArea dataOnly="0" labelOnly="1" fieldPosition="0">
        <references count="1">
          <reference field="5" count="0"/>
        </references>
      </pivotArea>
    </format>
    <format dxfId="85">
      <pivotArea dataOnly="0" grandRow="1" fieldPosition="0"/>
    </format>
    <format dxfId="84">
      <pivotArea outline="0" collapsedLevelsAreSubtotals="1" fieldPosition="0"/>
    </format>
    <format dxfId="83">
      <pivotArea dataOnly="0" labelOnly="1" outline="0" fieldPosition="0">
        <references count="1">
          <reference field="15" count="0"/>
        </references>
      </pivotArea>
    </format>
    <format dxfId="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1">
      <pivotArea field="5" type="button" dataOnly="0" labelOnly="1" outline="0" axis="axisRow" fieldPosition="1"/>
    </format>
    <format dxfId="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8">
      <pivotArea dataOnly="0" fieldPosition="0">
        <references count="1">
          <reference field="6" count="0"/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6" type="button" dataOnly="0" labelOnly="1" outline="0" axis="axisRow" fieldPosition="0"/>
    </format>
    <format dxfId="74">
      <pivotArea dataOnly="0" labelOnly="1" fieldPosition="0">
        <references count="1">
          <reference field="6" count="0"/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2">
          <reference field="5" count="2">
            <x v="2"/>
            <x v="3"/>
          </reference>
          <reference field="6" count="1" selected="0">
            <x v="0"/>
          </reference>
        </references>
      </pivotArea>
    </format>
    <format dxfId="71">
      <pivotArea dataOnly="0" labelOnly="1" fieldPosition="0">
        <references count="2">
          <reference field="5" count="7">
            <x v="0"/>
            <x v="2"/>
            <x v="3"/>
            <x v="4"/>
            <x v="11"/>
            <x v="26"/>
            <x v="41"/>
          </reference>
          <reference field="6" count="1" selected="0">
            <x v="1"/>
          </reference>
        </references>
      </pivotArea>
    </format>
    <format dxfId="70">
      <pivotArea dataOnly="0" labelOnly="1" fieldPosition="0">
        <references count="2">
          <reference field="5" count="6">
            <x v="0"/>
            <x v="2"/>
            <x v="3"/>
            <x v="4"/>
            <x v="11"/>
            <x v="22"/>
          </reference>
          <reference field="6" count="1" selected="0">
            <x v="2"/>
          </reference>
        </references>
      </pivotArea>
    </format>
    <format dxfId="69">
      <pivotArea dataOnly="0" labelOnly="1" fieldPosition="0">
        <references count="2">
          <reference field="5" count="14">
            <x v="2"/>
            <x v="3"/>
            <x v="6"/>
            <x v="11"/>
            <x v="23"/>
            <x v="24"/>
            <x v="25"/>
            <x v="27"/>
            <x v="29"/>
            <x v="33"/>
            <x v="35"/>
            <x v="36"/>
            <x v="39"/>
            <x v="40"/>
          </reference>
          <reference field="6" count="1" selected="0">
            <x v="3"/>
          </reference>
        </references>
      </pivotArea>
    </format>
    <format dxfId="68">
      <pivotArea dataOnly="0" labelOnly="1" fieldPosition="0">
        <references count="2">
          <reference field="5" count="2">
            <x v="3"/>
            <x v="11"/>
          </reference>
          <reference field="6" count="1" selected="0">
            <x v="4"/>
          </reference>
        </references>
      </pivotArea>
    </format>
    <format dxfId="67">
      <pivotArea dataOnly="0" labelOnly="1" fieldPosition="0">
        <references count="2">
          <reference field="5" count="2">
            <x v="3"/>
            <x v="11"/>
          </reference>
          <reference field="6" count="1" selected="0">
            <x v="5"/>
          </reference>
        </references>
      </pivotArea>
    </format>
    <format dxfId="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5">
      <pivotArea collapsedLevelsAreSubtotals="1" fieldPosition="0">
        <references count="1">
          <reference field="6" count="1">
            <x v="1"/>
          </reference>
        </references>
      </pivotArea>
    </format>
    <format dxfId="64">
      <pivotArea field="6" type="button" dataOnly="0" labelOnly="1" outline="0" axis="axisRow" fieldPosition="0"/>
    </format>
    <format dxfId="63">
      <pivotArea dataOnly="0" labelOnly="1" fieldPosition="0">
        <references count="1">
          <reference field="6" count="1">
            <x v="1"/>
          </reference>
        </references>
      </pivotArea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13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10">
              <x v="0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291A1-AA8F-4F0E-A975-6071891179EB}" name="PivotTable5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wise ">
  <location ref="A22:D27" firstHeaderRow="0" firstDataRow="1" firstDataCol="1" rowPageCount="1" colPageCount="1"/>
  <pivotFields count="16">
    <pivotField showAll="0"/>
    <pivotField showAll="0"/>
    <pivotField showAll="0"/>
    <pivotField showAll="0">
      <items count="52">
        <item h="1" m="1" x="8"/>
        <item m="1" x="33"/>
        <item h="1" m="1" x="25"/>
        <item h="1" m="1" x="46"/>
        <item h="1" m="1" x="32"/>
        <item h="1" m="1" x="47"/>
        <item h="1" m="1" x="42"/>
        <item h="1" m="1" x="31"/>
        <item h="1" m="1" x="40"/>
        <item h="1" m="1" x="43"/>
        <item h="1" m="1" x="45"/>
        <item h="1" m="1" x="48"/>
        <item h="1" m="1" x="29"/>
        <item h="1" m="1" x="39"/>
        <item h="1" m="1" x="26"/>
        <item h="1" m="1" x="27"/>
        <item h="1" m="1" x="34"/>
        <item h="1" m="1" x="30"/>
        <item h="1" m="1" x="36"/>
        <item h="1" m="1" x="41"/>
        <item h="1" m="1" x="44"/>
        <item h="1" m="1" x="35"/>
        <item h="1" m="1" x="37"/>
        <item h="1" m="1" x="50"/>
        <item h="1" m="1" x="49"/>
        <item h="1" m="1" x="12"/>
        <item h="1" m="1" x="28"/>
        <item h="1" m="1" x="15"/>
        <item h="1" m="1" x="14"/>
        <item h="1" m="1" x="17"/>
        <item h="1" m="1" x="9"/>
        <item h="1" m="1" x="16"/>
        <item h="1" m="1" x="11"/>
        <item h="1" m="1" x="19"/>
        <item h="1" m="1" x="10"/>
        <item h="1" m="1" x="22"/>
        <item h="1" m="1" x="13"/>
        <item h="1" m="1" x="23"/>
        <item h="1" m="1" x="24"/>
        <item h="1" m="1" x="38"/>
        <item h="1" m="1" x="20"/>
        <item h="1" m="1" x="18"/>
        <item h="1" m="1" x="21"/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sortType="descending">
      <items count="22">
        <item m="1" x="5"/>
        <item m="1" x="4"/>
        <item m="1" x="8"/>
        <item m="1" x="6"/>
        <item m="1" x="9"/>
        <item m="1" x="13"/>
        <item m="1" x="7"/>
        <item m="1" x="10"/>
        <item m="1" x="15"/>
        <item m="1" x="20"/>
        <item m="1" x="18"/>
        <item m="1" x="16"/>
        <item m="1" x="12"/>
        <item m="1" x="11"/>
        <item m="1" x="14"/>
        <item m="1" x="17"/>
        <item m="1" x="19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m="1" x="7"/>
        <item h="1" m="1" x="9"/>
        <item h="1" m="1" x="6"/>
        <item h="1" m="1" x="5"/>
        <item x="0"/>
        <item m="1" x="4"/>
        <item h="1" m="1" x="8"/>
        <item m="1" x="3"/>
        <item m="1" x="1"/>
        <item m="1" x="2"/>
        <item t="default"/>
      </items>
    </pivotField>
  </pivotFields>
  <rowFields count="1">
    <field x="6"/>
  </rowFields>
  <rowItems count="5"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Design qty" fld="8" baseField="3" baseItem="0"/>
    <dataField name="Pts" fld="9" baseField="3" baseItem="0"/>
    <dataField name="EFF%" fld="9" showDataAs="percentOfCol" baseField="3" baseItem="0" numFmtId="10"/>
  </dataFields>
  <formats count="27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3" type="button" dataOnly="0" labelOnly="1" outline="0"/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5">
      <pivotArea outline="0" collapsedLevelsAreSubtotals="1" fieldPosition="0"/>
    </format>
    <format dxfId="1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3">
      <pivotArea outline="0" fieldPosition="0">
        <references count="1">
          <reference field="4294967294" count="1">
            <x v="2"/>
          </reference>
        </references>
      </pivotArea>
    </format>
    <format dxfId="112">
      <pivotArea type="all" dataOnly="0" outline="0" fieldPosition="0"/>
    </format>
    <format dxfId="111">
      <pivotArea field="6" type="button" dataOnly="0" labelOnly="1" outline="0" axis="axisRow" fieldPosition="0"/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grandRow="1" outline="0" collapsedLevelsAreSubtotals="1" fieldPosition="0"/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15" count="0"/>
        </references>
      </pivotArea>
    </format>
    <format dxfId="105">
      <pivotArea field="6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6" type="button" dataOnly="0" labelOnly="1" outline="0" axis="axisRow" fieldPosition="0"/>
    </format>
    <format dxfId="100">
      <pivotArea dataOnly="0" labelOnly="1" fieldPosition="0">
        <references count="1">
          <reference field="6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7">
      <pivotArea field="6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5">
      <pivotArea grandRow="1" outline="0" collapsedLevelsAreSubtotals="1" fieldPosition="0"/>
    </format>
    <format dxfId="94">
      <pivotArea dataOnly="0" labelOnly="1" grandRow="1" outline="0" fieldPosition="0"/>
    </format>
  </formats>
  <conditionalFormats count="2">
    <conditionalFormat priority="15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3">
              <x v="0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B8115-65D5-493B-B3E4-5F6229F0F0A2}" name="PivotTable6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d designer ">
  <location ref="F4:I32" firstHeaderRow="0" firstDataRow="1" firstDataCol="1"/>
  <pivotFields count="16">
    <pivotField showAll="0"/>
    <pivotField showAll="0"/>
    <pivotField showAll="0"/>
    <pivotField axis="axisRow" showAll="0">
      <items count="52">
        <item m="1" x="8"/>
        <item m="1" x="33"/>
        <item m="1" x="25"/>
        <item m="1" x="46"/>
        <item m="1" x="32"/>
        <item m="1" x="47"/>
        <item m="1" x="42"/>
        <item m="1" x="31"/>
        <item m="1" x="40"/>
        <item m="1" x="43"/>
        <item m="1" x="45"/>
        <item m="1" x="48"/>
        <item m="1" x="29"/>
        <item m="1" x="39"/>
        <item m="1" x="26"/>
        <item m="1" x="27"/>
        <item m="1" x="34"/>
        <item m="1" x="30"/>
        <item m="1" x="36"/>
        <item m="1" x="41"/>
        <item m="1" x="44"/>
        <item m="1" x="35"/>
        <item m="1" x="37"/>
        <item m="1" x="50"/>
        <item m="1" x="49"/>
        <item m="1" x="12"/>
        <item m="1" x="28"/>
        <item m="1" x="15"/>
        <item m="1" x="14"/>
        <item m="1" x="17"/>
        <item m="1" x="9"/>
        <item m="1" x="16"/>
        <item m="1" x="11"/>
        <item m="1" x="19"/>
        <item m="1" x="10"/>
        <item m="1" x="22"/>
        <item m="1" x="13"/>
        <item m="1" x="23"/>
        <item m="1" x="24"/>
        <item m="1" x="38"/>
        <item m="1" x="20"/>
        <item m="1" x="18"/>
        <item m="1" x="21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axis="axisRow" showAll="0">
      <items count="103">
        <item x="0"/>
        <item m="1" x="7"/>
        <item x="4"/>
        <item m="1" x="8"/>
        <item m="1" x="76"/>
        <item x="1"/>
        <item m="1" x="64"/>
        <item x="6"/>
        <item m="1" x="35"/>
        <item m="1" x="9"/>
        <item x="3"/>
        <item m="1" x="26"/>
        <item m="1" x="93"/>
        <item m="1" x="62"/>
        <item m="1" x="52"/>
        <item m="1" x="85"/>
        <item m="1" x="12"/>
        <item m="1" x="56"/>
        <item m="1" x="96"/>
        <item m="1" x="101"/>
        <item m="1" x="88"/>
        <item m="1" x="21"/>
        <item m="1" x="36"/>
        <item m="1" x="91"/>
        <item m="1" x="46"/>
        <item m="1" x="65"/>
        <item m="1" x="75"/>
        <item m="1" x="37"/>
        <item m="1" x="19"/>
        <item m="1" x="67"/>
        <item m="1" x="100"/>
        <item m="1" x="13"/>
        <item m="1" x="90"/>
        <item m="1" x="18"/>
        <item m="1" x="94"/>
        <item m="1" x="49"/>
        <item m="1" x="34"/>
        <item m="1" x="41"/>
        <item m="1" x="74"/>
        <item m="1" x="58"/>
        <item m="1" x="78"/>
        <item m="1" x="84"/>
        <item m="1" x="30"/>
        <item m="1" x="44"/>
        <item m="1" x="22"/>
        <item m="1" x="50"/>
        <item m="1" x="70"/>
        <item m="1" x="79"/>
        <item m="1" x="83"/>
        <item m="1" x="45"/>
        <item m="1" x="48"/>
        <item m="1" x="39"/>
        <item m="1" x="43"/>
        <item m="1" x="66"/>
        <item m="1" x="77"/>
        <item m="1" x="63"/>
        <item m="1" x="11"/>
        <item m="1" x="32"/>
        <item m="1" x="29"/>
        <item m="1" x="20"/>
        <item m="1" x="99"/>
        <item m="1" x="51"/>
        <item m="1" x="24"/>
        <item m="1" x="92"/>
        <item m="1" x="86"/>
        <item m="1" x="80"/>
        <item m="1" x="40"/>
        <item m="1" x="16"/>
        <item m="1" x="31"/>
        <item m="1" x="68"/>
        <item m="1" x="53"/>
        <item m="1" x="59"/>
        <item m="1" x="73"/>
        <item m="1" x="54"/>
        <item m="1" x="47"/>
        <item m="1" x="27"/>
        <item m="1" x="97"/>
        <item m="1" x="14"/>
        <item m="1" x="25"/>
        <item m="1" x="72"/>
        <item m="1" x="71"/>
        <item m="1" x="38"/>
        <item m="1" x="82"/>
        <item m="1" x="15"/>
        <item m="1" x="23"/>
        <item m="1" x="55"/>
        <item m="1" x="98"/>
        <item m="1" x="95"/>
        <item m="1" x="61"/>
        <item m="1" x="60"/>
        <item m="1" x="28"/>
        <item m="1" x="87"/>
        <item m="1" x="17"/>
        <item x="5"/>
        <item m="1" x="57"/>
        <item m="1" x="81"/>
        <item m="1" x="42"/>
        <item m="1" x="33"/>
        <item m="1" x="69"/>
        <item m="1" x="89"/>
        <item m="1" x="10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3"/>
    <field x="7"/>
  </rowFields>
  <rowItems count="28">
    <i>
      <x v="43"/>
    </i>
    <i r="1">
      <x/>
    </i>
    <i r="1">
      <x v="5"/>
    </i>
    <i r="1">
      <x v="7"/>
    </i>
    <i r="1">
      <x v="10"/>
    </i>
    <i>
      <x v="44"/>
    </i>
    <i r="1">
      <x/>
    </i>
    <i r="1">
      <x v="5"/>
    </i>
    <i r="1">
      <x v="101"/>
    </i>
    <i>
      <x v="45"/>
    </i>
    <i r="1">
      <x/>
    </i>
    <i r="1">
      <x v="101"/>
    </i>
    <i>
      <x v="46"/>
    </i>
    <i r="1">
      <x v="2"/>
    </i>
    <i r="1">
      <x v="10"/>
    </i>
    <i>
      <x v="47"/>
    </i>
    <i r="1">
      <x/>
    </i>
    <i>
      <x v="48"/>
    </i>
    <i r="1">
      <x v="2"/>
    </i>
    <i r="1">
      <x v="93"/>
    </i>
    <i>
      <x v="49"/>
    </i>
    <i r="1">
      <x v="2"/>
    </i>
    <i r="1">
      <x v="7"/>
    </i>
    <i r="1">
      <x v="10"/>
    </i>
    <i r="1">
      <x v="93"/>
    </i>
    <i>
      <x v="50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esign qty" fld="8" baseField="3" baseItem="0"/>
    <dataField name="Pts" fld="9" baseField="3" baseItem="0"/>
    <dataField name="EFF%" fld="9" showDataAs="percentOfCol" baseField="3" baseItem="0" numFmtId="10"/>
  </dataFields>
  <formats count="46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 axis="axisRow" fieldPosition="0"/>
    </format>
    <format dxfId="163">
      <pivotArea dataOnly="0" labelOnly="1" fieldPosition="0">
        <references count="1">
          <reference field="3" count="0"/>
        </references>
      </pivotArea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0">
      <pivotArea outline="0" collapsedLevelsAreSubtotals="1" fieldPosition="0"/>
    </format>
    <format dxfId="1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8">
      <pivotArea outline="0" fieldPosition="0">
        <references count="1">
          <reference field="4294967294" count="1">
            <x v="2"/>
          </reference>
        </references>
      </pivotArea>
    </format>
    <format dxfId="157">
      <pivotArea collapsedLevelsAreSubtotals="1" fieldPosition="0">
        <references count="1">
          <reference field="3" count="0"/>
        </references>
      </pivotArea>
    </format>
    <format dxfId="156">
      <pivotArea dataOnly="0" fieldPosition="0">
        <references count="1">
          <reference field="3" count="0"/>
        </references>
      </pivotArea>
    </format>
    <format dxfId="155">
      <pivotArea dataOnly="0" grandRow="1" fieldPosition="0"/>
    </format>
    <format dxfId="154">
      <pivotArea field="3" type="button" dataOnly="0" labelOnly="1" outline="0" axis="axisRow" fieldPosition="0"/>
    </format>
    <format dxfId="15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7">
      <pivotArea field="3" type="button" dataOnly="0" labelOnly="1" outline="0" axis="axisRow" fieldPosition="0"/>
    </format>
    <format dxfId="1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3" type="button" dataOnly="0" labelOnly="1" outline="0" axis="axisRow" fieldPosition="0"/>
    </format>
    <format dxfId="142">
      <pivotArea dataOnly="0" labelOnly="1" fieldPosition="0">
        <references count="1">
          <reference field="3" count="0"/>
        </references>
      </pivotArea>
    </format>
    <format dxfId="141">
      <pivotArea dataOnly="0" labelOnly="1" grandRow="1" outline="0" fieldPosition="0"/>
    </format>
    <format dxfId="140">
      <pivotArea dataOnly="0" labelOnly="1" fieldPosition="0">
        <references count="2">
          <reference field="3" count="1" selected="0">
            <x v="1"/>
          </reference>
          <reference field="7" count="9">
            <x v="0"/>
            <x v="2"/>
            <x v="3"/>
            <x v="4"/>
            <x v="5"/>
            <x v="9"/>
            <x v="10"/>
            <x v="12"/>
            <x v="16"/>
          </reference>
        </references>
      </pivotArea>
    </format>
    <format dxfId="139">
      <pivotArea dataOnly="0" labelOnly="1" fieldPosition="0">
        <references count="2">
          <reference field="3" count="1" selected="0">
            <x v="2"/>
          </reference>
          <reference field="7" count="8">
            <x v="0"/>
            <x v="2"/>
            <x v="3"/>
            <x v="4"/>
            <x v="5"/>
            <x v="7"/>
            <x v="8"/>
            <x v="10"/>
          </reference>
        </references>
      </pivotArea>
    </format>
    <format dxfId="138">
      <pivotArea dataOnly="0" labelOnly="1" fieldPosition="0">
        <references count="2">
          <reference field="3" count="1" selected="0">
            <x v="3"/>
          </reference>
          <reference field="7" count="5">
            <x v="0"/>
            <x v="2"/>
            <x v="3"/>
            <x v="5"/>
            <x v="10"/>
          </reference>
        </references>
      </pivotArea>
    </format>
    <format dxfId="137">
      <pivotArea dataOnly="0" labelOnly="1" fieldPosition="0">
        <references count="2">
          <reference field="3" count="1" selected="0">
            <x v="4"/>
          </reference>
          <reference field="7" count="4">
            <x v="2"/>
            <x v="4"/>
            <x v="5"/>
            <x v="13"/>
          </reference>
        </references>
      </pivotArea>
    </format>
    <format dxfId="136">
      <pivotArea dataOnly="0" labelOnly="1" fieldPosition="0">
        <references count="2">
          <reference field="3" count="1" selected="0">
            <x v="5"/>
          </reference>
          <reference field="7" count="7">
            <x v="2"/>
            <x v="3"/>
            <x v="4"/>
            <x v="5"/>
            <x v="6"/>
            <x v="9"/>
            <x v="11"/>
          </reference>
        </references>
      </pivotArea>
    </format>
    <format dxfId="135">
      <pivotArea dataOnly="0" labelOnly="1" fieldPosition="0">
        <references count="2">
          <reference field="3" count="1" selected="0">
            <x v="6"/>
          </reference>
          <reference field="7" count="3">
            <x v="2"/>
            <x v="4"/>
            <x v="5"/>
          </reference>
        </references>
      </pivotArea>
    </format>
    <format dxfId="134">
      <pivotArea dataOnly="0" labelOnly="1" fieldPosition="0">
        <references count="2">
          <reference field="3" count="1" selected="0">
            <x v="7"/>
          </reference>
          <reference field="7" count="2">
            <x v="0"/>
            <x v="5"/>
          </reference>
        </references>
      </pivotArea>
    </format>
    <format dxfId="133">
      <pivotArea dataOnly="0" labelOnly="1" fieldPosition="0">
        <references count="2">
          <reference field="3" count="1" selected="0">
            <x v="8"/>
          </reference>
          <reference field="7" count="4">
            <x v="2"/>
            <x v="3"/>
            <x v="5"/>
            <x v="10"/>
          </reference>
        </references>
      </pivotArea>
    </format>
    <format dxfId="132">
      <pivotArea dataOnly="0" labelOnly="1" fieldPosition="0">
        <references count="2">
          <reference field="3" count="1" selected="0">
            <x v="9"/>
          </reference>
          <reference field="7" count="5">
            <x v="0"/>
            <x v="2"/>
            <x v="3"/>
            <x v="4"/>
            <x v="5"/>
          </reference>
        </references>
      </pivotArea>
    </format>
    <format dxfId="131">
      <pivotArea dataOnly="0" labelOnly="1" fieldPosition="0">
        <references count="2">
          <reference field="3" count="1" selected="0">
            <x v="11"/>
          </reference>
          <reference field="7" count="7">
            <x v="0"/>
            <x v="3"/>
            <x v="4"/>
            <x v="5"/>
            <x v="10"/>
            <x v="14"/>
            <x v="15"/>
          </reference>
        </references>
      </pivotArea>
    </format>
    <format dxfId="130">
      <pivotArea dataOnly="0" labelOnly="1" fieldPosition="0">
        <references count="2">
          <reference field="3" count="1" selected="0">
            <x v="14"/>
          </reference>
          <reference field="7" count="2">
            <x v="2"/>
            <x v="5"/>
          </reference>
        </references>
      </pivotArea>
    </format>
    <format dxfId="1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8">
      <pivotArea collapsedLevelsAreSubtotals="1" fieldPosition="0">
        <references count="1">
          <reference field="3" count="1">
            <x v="1"/>
          </reference>
        </references>
      </pivotArea>
    </format>
    <format dxfId="127">
      <pivotArea field="3" type="button" dataOnly="0" labelOnly="1" outline="0" axis="axisRow" fieldPosition="0"/>
    </format>
    <format dxfId="126">
      <pivotArea dataOnly="0" labelOnly="1" fieldPosition="0">
        <references count="1">
          <reference field="3" count="1">
            <x v="1"/>
          </reference>
        </references>
      </pivotArea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collapsedLevelsAreSubtotals="1" fieldPosition="0">
        <references count="1">
          <reference field="3" count="1">
            <x v="2"/>
          </reference>
        </references>
      </pivotArea>
    </format>
    <format dxfId="123">
      <pivotArea dataOnly="0" labelOnly="1" fieldPosition="0">
        <references count="1">
          <reference field="3" count="1">
            <x v="2"/>
          </reference>
        </references>
      </pivotArea>
    </format>
    <format dxfId="122">
      <pivotArea collapsedLevelsAreSubtotals="1" fieldPosition="0">
        <references count="1">
          <reference field="3" count="1">
            <x v="4"/>
          </reference>
        </references>
      </pivotArea>
    </format>
    <format dxfId="121">
      <pivotArea dataOnly="0" labelOnly="1" fieldPosition="0">
        <references count="1">
          <reference field="3" count="1">
            <x v="4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9E96A-949F-4AFB-992D-7D3E6DCB836D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 rowHeaderCaption="Cad designer ">
  <location ref="A4:D13" firstHeaderRow="0" firstDataRow="1" firstDataCol="1"/>
  <pivotFields count="16">
    <pivotField showAll="0"/>
    <pivotField showAll="0"/>
    <pivotField showAll="0"/>
    <pivotField axis="axisRow" showAll="0" sortType="descending">
      <items count="52">
        <item m="1" x="38"/>
        <item m="1" x="49"/>
        <item m="1" x="33"/>
        <item m="1" x="48"/>
        <item m="1" x="41"/>
        <item m="1" x="35"/>
        <item m="1" x="36"/>
        <item m="1" x="31"/>
        <item m="1" x="34"/>
        <item m="1" x="14"/>
        <item m="1" x="18"/>
        <item m="1" x="22"/>
        <item m="1" x="16"/>
        <item m="1" x="27"/>
        <item m="1" x="44"/>
        <item m="1" x="42"/>
        <item m="1" x="30"/>
        <item m="1" x="11"/>
        <item m="1" x="47"/>
        <item m="1" x="45"/>
        <item m="1" x="43"/>
        <item m="1" x="37"/>
        <item m="1" x="26"/>
        <item m="1" x="23"/>
        <item m="1" x="24"/>
        <item m="1" x="20"/>
        <item m="1" x="39"/>
        <item m="1" x="32"/>
        <item m="1" x="19"/>
        <item m="1" x="9"/>
        <item m="1" x="50"/>
        <item m="1" x="13"/>
        <item m="1" x="29"/>
        <item m="1" x="25"/>
        <item m="1" x="28"/>
        <item m="1" x="15"/>
        <item m="1" x="10"/>
        <item m="1" x="12"/>
        <item m="1" x="17"/>
        <item m="1" x="46"/>
        <item m="1" x="40"/>
        <item m="1" x="8"/>
        <item m="1" x="21"/>
        <item x="0"/>
        <item x="1"/>
        <item x="2"/>
        <item x="3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43"/>
    </i>
    <i>
      <x v="44"/>
    </i>
    <i>
      <x v="46"/>
    </i>
    <i>
      <x v="48"/>
    </i>
    <i>
      <x v="49"/>
    </i>
    <i>
      <x v="50"/>
    </i>
    <i>
      <x v="45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d" fld="8" baseField="3" baseItem="0"/>
    <dataField name="Pts" fld="9" baseField="3" baseItem="0"/>
    <dataField name="EFF%" fld="9" showDataAs="percentOfCol" baseField="3" baseItem="0" numFmtId="10"/>
  </dataFields>
  <formats count="28"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3" type="button" dataOnly="0" labelOnly="1" outline="0" axis="axisRow" fieldPosition="0"/>
    </format>
    <format dxfId="191">
      <pivotArea dataOnly="0" labelOnly="1" fieldPosition="0">
        <references count="1">
          <reference field="3" count="0"/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8">
      <pivotArea outline="0" collapsedLevelsAreSubtotals="1" fieldPosition="0"/>
    </format>
    <format dxfId="1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6">
      <pivotArea outline="0" fieldPosition="0">
        <references count="1">
          <reference field="4294967294" count="1">
            <x v="2"/>
          </reference>
        </references>
      </pivotArea>
    </format>
    <format dxfId="185">
      <pivotArea collapsedLevelsAreSubtotals="1" fieldPosition="0">
        <references count="1">
          <reference field="3" count="0"/>
        </references>
      </pivotArea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field="3" type="button" dataOnly="0" labelOnly="1" outline="0" axis="axisRow" fieldPosition="0"/>
    </format>
    <format dxfId="1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3" type="button" dataOnly="0" labelOnly="1" outline="0" axis="axisRow" fieldPosition="0"/>
    </format>
    <format dxfId="177">
      <pivotArea dataOnly="0" labelOnly="1" fieldPosition="0">
        <references count="1">
          <reference field="3" count="0"/>
        </references>
      </pivotArea>
    </format>
    <format dxfId="176">
      <pivotArea dataOnly="0" labelOnly="1" grandRow="1" outline="0" fieldPosition="0"/>
    </format>
    <format dxfId="1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4">
      <pivotArea collapsedLevelsAreSubtotals="1" fieldPosition="0">
        <references count="1">
          <reference field="3" count="1">
            <x v="18"/>
          </reference>
        </references>
      </pivotArea>
    </format>
    <format dxfId="173">
      <pivotArea dataOnly="0" labelOnly="1" fieldPosition="0">
        <references count="1">
          <reference field="3" count="1">
            <x v="18"/>
          </reference>
        </references>
      </pivotArea>
    </format>
    <format dxfId="172">
      <pivotArea collapsedLevelsAreSubtotals="1" fieldPosition="0">
        <references count="1">
          <reference field="3" count="1">
            <x v="18"/>
          </reference>
        </references>
      </pivotArea>
    </format>
    <format dxfId="171">
      <pivotArea dataOnly="0" labelOnly="1" fieldPosition="0">
        <references count="1">
          <reference field="3" count="1">
            <x v="18"/>
          </reference>
        </references>
      </pivotArea>
    </format>
    <format dxfId="170">
      <pivotArea field="3" type="button" dataOnly="0" labelOnly="1" outline="0" axis="axisRow" fieldPosition="0"/>
    </format>
    <format dxfId="1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8">
      <pivotArea grandRow="1" outline="0" collapsedLevelsAreSubtotals="1" fieldPosition="0"/>
    </format>
    <format dxfId="167">
      <pivotArea dataOnly="0" labelOnly="1" grandRow="1" outline="0" fieldPosition="0"/>
    </format>
  </formats>
  <conditionalFormats count="1">
    <conditionalFormat priority="17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0952A-5FF9-4C0A-BCF3-09F5429B2A86}" name="PivotTable3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ject wise ">
  <location ref="A35:D40" firstHeaderRow="0" firstDataRow="1" firstDataCol="1" rowPageCount="1" colPageCount="1"/>
  <pivotFields count="16">
    <pivotField showAll="0"/>
    <pivotField showAll="0"/>
    <pivotField showAll="0"/>
    <pivotField showAll="0">
      <items count="52">
        <item h="1" m="1" x="8"/>
        <item m="1" x="33"/>
        <item h="1" m="1" x="25"/>
        <item h="1" m="1" x="46"/>
        <item h="1" m="1" x="32"/>
        <item h="1" m="1" x="47"/>
        <item h="1" m="1" x="42"/>
        <item h="1" m="1" x="31"/>
        <item h="1" m="1" x="40"/>
        <item h="1" m="1" x="43"/>
        <item h="1" m="1" x="45"/>
        <item h="1" m="1" x="48"/>
        <item h="1" m="1" x="29"/>
        <item h="1" m="1" x="39"/>
        <item h="1" m="1" x="26"/>
        <item h="1" m="1" x="27"/>
        <item h="1" m="1" x="34"/>
        <item h="1" m="1" x="30"/>
        <item h="1" m="1" x="36"/>
        <item h="1" m="1" x="41"/>
        <item h="1" m="1" x="44"/>
        <item h="1" m="1" x="35"/>
        <item h="1" m="1" x="37"/>
        <item h="1" m="1" x="50"/>
        <item h="1" m="1" x="49"/>
        <item h="1" m="1" x="12"/>
        <item h="1" m="1" x="28"/>
        <item h="1" m="1" x="15"/>
        <item h="1" m="1" x="14"/>
        <item h="1" m="1" x="17"/>
        <item h="1" m="1" x="9"/>
        <item h="1" m="1" x="16"/>
        <item h="1" m="1" x="11"/>
        <item h="1" m="1" x="19"/>
        <item h="1" m="1" x="10"/>
        <item h="1" m="1" x="22"/>
        <item h="1" m="1" x="13"/>
        <item h="1" m="1" x="23"/>
        <item h="1" m="1" x="24"/>
        <item h="1" m="1" x="38"/>
        <item h="1" m="1" x="20"/>
        <item h="1" m="1" x="18"/>
        <item h="1" m="1" x="21"/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sortType="descending">
      <items count="22">
        <item m="1" x="5"/>
        <item m="1" x="4"/>
        <item m="1" x="8"/>
        <item m="1" x="6"/>
        <item m="1" x="9"/>
        <item m="1" x="13"/>
        <item m="1" x="7"/>
        <item m="1" x="10"/>
        <item m="1" x="15"/>
        <item m="1" x="20"/>
        <item m="1" x="18"/>
        <item m="1" x="16"/>
        <item m="1" x="12"/>
        <item m="1" x="11"/>
        <item m="1" x="14"/>
        <item m="1" x="17"/>
        <item m="1" x="19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m="1" x="7"/>
        <item m="1" x="9"/>
        <item m="1" x="6"/>
        <item m="1" x="5"/>
        <item x="0"/>
        <item m="1" x="4"/>
        <item m="1" x="8"/>
        <item m="1" x="3"/>
        <item m="1" x="1"/>
        <item m="1" x="2"/>
        <item t="default"/>
      </items>
    </pivotField>
  </pivotFields>
  <rowFields count="1">
    <field x="6"/>
  </rowFields>
  <rowItems count="5">
    <i>
      <x v="17"/>
    </i>
    <i>
      <x v="18"/>
    </i>
    <i>
      <x v="19"/>
    </i>
    <i>
      <x v="2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hier="-1"/>
  </pageFields>
  <dataFields count="3">
    <dataField name="Design qty" fld="8" baseField="3" baseItem="0"/>
    <dataField name="Pts" fld="9" baseField="3" baseItem="0"/>
    <dataField name="EFF%" fld="9" showDataAs="percentOfCol" baseField="3" baseItem="0" numFmtId="10"/>
  </dataFields>
  <formats count="23"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3" type="button" dataOnly="0" labelOnly="1" outline="0"/>
    </format>
    <format dxfId="214">
      <pivotArea dataOnly="0" labelOnly="1" grandRow="1" outline="0" fieldPosition="0"/>
    </format>
    <format dxfId="2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2">
      <pivotArea outline="0" collapsedLevelsAreSubtotals="1" fieldPosition="0"/>
    </format>
    <format dxfId="2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0">
      <pivotArea outline="0" fieldPosition="0">
        <references count="1">
          <reference field="4294967294" count="1">
            <x v="2"/>
          </reference>
        </references>
      </pivotArea>
    </format>
    <format dxfId="209">
      <pivotArea type="all" dataOnly="0" outline="0" fieldPosition="0"/>
    </format>
    <format dxfId="208">
      <pivotArea field="6" type="button" dataOnly="0" labelOnly="1" outline="0" axis="axisRow" fieldPosition="0"/>
    </format>
    <format dxfId="207">
      <pivotArea dataOnly="0" labelOnly="1" grandRow="1" outline="0" fieldPosition="0"/>
    </format>
    <format dxfId="2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5">
      <pivotArea grandRow="1" outline="0" collapsedLevelsAreSubtotals="1" fieldPosition="0"/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15" count="0"/>
        </references>
      </pivotArea>
    </format>
    <format dxfId="202">
      <pivotArea field="6" type="button" dataOnly="0" labelOnly="1" outline="0" axis="axisRow" fieldPosition="0"/>
    </format>
    <format dxfId="2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6" type="button" dataOnly="0" labelOnly="1" outline="0" axis="axisRow" fieldPosition="0"/>
    </format>
    <format dxfId="197">
      <pivotArea dataOnly="0" labelOnly="1" fieldPosition="0">
        <references count="1">
          <reference field="6" count="0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9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3">
              <x v="0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8D574-23C3-4A77-9E29-CEC62F9C42DE}" name="PivotTable2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d designer ">
  <location ref="P4:R12" firstHeaderRow="0" firstDataRow="1" firstDataCol="1"/>
  <pivotFields count="16">
    <pivotField showAll="0"/>
    <pivotField showAll="0"/>
    <pivotField showAll="0"/>
    <pivotField showAll="0">
      <items count="52">
        <item h="1" m="1" x="8"/>
        <item m="1" x="33"/>
        <item h="1" m="1" x="25"/>
        <item h="1" m="1" x="46"/>
        <item h="1" m="1" x="32"/>
        <item h="1" m="1" x="47"/>
        <item h="1" m="1" x="42"/>
        <item h="1" m="1" x="31"/>
        <item h="1" m="1" x="40"/>
        <item h="1" m="1" x="43"/>
        <item h="1" m="1" x="45"/>
        <item h="1" m="1" x="48"/>
        <item h="1" m="1" x="29"/>
        <item h="1" m="1" x="39"/>
        <item h="1" m="1" x="26"/>
        <item h="1" m="1" x="27"/>
        <item h="1" m="1" x="34"/>
        <item h="1" m="1" x="30"/>
        <item h="1" m="1" x="36"/>
        <item h="1" m="1" x="41"/>
        <item h="1" m="1" x="44"/>
        <item h="1" m="1" x="35"/>
        <item h="1" m="1" x="37"/>
        <item h="1" m="1" x="50"/>
        <item h="1" m="1" x="49"/>
        <item h="1" m="1" x="12"/>
        <item h="1" m="1" x="28"/>
        <item h="1" m="1" x="15"/>
        <item h="1" m="1" x="14"/>
        <item h="1" m="1" x="17"/>
        <item h="1" m="1" x="9"/>
        <item h="1" m="1" x="16"/>
        <item h="1" m="1" x="11"/>
        <item h="1" m="1" x="19"/>
        <item h="1" m="1" x="10"/>
        <item h="1" m="1" x="22"/>
        <item h="1" m="1" x="13"/>
        <item h="1" m="1" x="23"/>
        <item h="1" m="1" x="24"/>
        <item h="1" m="1" x="38"/>
        <item h="1" m="1" x="20"/>
        <item h="1" m="1" x="18"/>
        <item h="1" m="1" x="21"/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axis="axisRow" showAll="0" sortType="descending">
      <items count="153">
        <item m="1" x="38"/>
        <item m="1" x="6"/>
        <item m="1" x="112"/>
        <item m="1" x="144"/>
        <item m="1" x="22"/>
        <item m="1" x="19"/>
        <item m="1" x="132"/>
        <item m="1" x="65"/>
        <item m="1" x="103"/>
        <item m="1" x="72"/>
        <item m="1" x="78"/>
        <item m="1" x="131"/>
        <item m="1" x="73"/>
        <item m="1" x="129"/>
        <item m="1" x="21"/>
        <item m="1" x="96"/>
        <item m="1" x="39"/>
        <item m="1" x="121"/>
        <item m="1" x="36"/>
        <item m="1" x="133"/>
        <item m="1" x="127"/>
        <item m="1" x="128"/>
        <item m="1" x="83"/>
        <item m="1" x="58"/>
        <item m="1" x="34"/>
        <item m="1" x="45"/>
        <item m="1" x="41"/>
        <item m="1" x="75"/>
        <item m="1" x="17"/>
        <item m="1" x="69"/>
        <item m="1" x="94"/>
        <item m="1" x="64"/>
        <item m="1" x="59"/>
        <item m="1" x="116"/>
        <item m="1" x="135"/>
        <item m="1" x="32"/>
        <item m="1" x="114"/>
        <item m="1" x="71"/>
        <item m="1" x="37"/>
        <item m="1" x="20"/>
        <item m="1" x="119"/>
        <item m="1" x="29"/>
        <item m="1" x="107"/>
        <item m="1" x="117"/>
        <item m="1" x="11"/>
        <item m="1" x="124"/>
        <item m="1" x="9"/>
        <item m="1" x="82"/>
        <item m="1" x="10"/>
        <item m="1" x="113"/>
        <item m="1" x="40"/>
        <item m="1" x="23"/>
        <item m="1" x="70"/>
        <item m="1" x="12"/>
        <item m="1" x="8"/>
        <item m="1" x="14"/>
        <item m="1" x="47"/>
        <item m="1" x="101"/>
        <item m="1" x="61"/>
        <item m="1" x="151"/>
        <item m="1" x="87"/>
        <item m="1" x="111"/>
        <item m="1" x="62"/>
        <item m="1" x="33"/>
        <item m="1" x="141"/>
        <item m="1" x="31"/>
        <item m="1" x="84"/>
        <item m="1" x="57"/>
        <item m="1" x="68"/>
        <item m="1" x="110"/>
        <item m="1" x="138"/>
        <item m="1" x="55"/>
        <item m="1" x="137"/>
        <item m="1" x="93"/>
        <item m="1" x="54"/>
        <item m="1" x="118"/>
        <item m="1" x="130"/>
        <item m="1" x="52"/>
        <item m="1" x="77"/>
        <item m="1" x="42"/>
        <item m="1" x="85"/>
        <item m="1" x="106"/>
        <item m="1" x="120"/>
        <item m="1" x="46"/>
        <item m="1" x="80"/>
        <item m="1" x="66"/>
        <item m="1" x="76"/>
        <item m="1" x="28"/>
        <item m="1" x="115"/>
        <item m="1" x="100"/>
        <item m="1" x="16"/>
        <item m="1" x="88"/>
        <item m="1" x="149"/>
        <item m="1" x="97"/>
        <item m="1" x="35"/>
        <item m="1" x="81"/>
        <item m="1" x="86"/>
        <item m="1" x="134"/>
        <item m="1" x="145"/>
        <item m="1" x="136"/>
        <item m="1" x="123"/>
        <item m="1" x="18"/>
        <item m="1" x="67"/>
        <item m="1" x="13"/>
        <item m="1" x="56"/>
        <item m="1" x="26"/>
        <item m="1" x="53"/>
        <item m="1" x="104"/>
        <item m="1" x="60"/>
        <item m="1" x="89"/>
        <item m="1" x="95"/>
        <item m="1" x="109"/>
        <item m="1" x="90"/>
        <item m="1" x="79"/>
        <item m="1" x="143"/>
        <item m="1" x="49"/>
        <item m="1" x="102"/>
        <item m="1" x="147"/>
        <item m="1" x="24"/>
        <item m="1" x="44"/>
        <item m="1" x="91"/>
        <item m="1" x="122"/>
        <item m="1" x="51"/>
        <item m="1" x="48"/>
        <item m="1" x="108"/>
        <item m="1" x="63"/>
        <item m="1" x="125"/>
        <item m="1" x="25"/>
        <item m="1" x="99"/>
        <item m="1" x="43"/>
        <item m="1" x="30"/>
        <item m="1" x="148"/>
        <item m="1" x="27"/>
        <item m="1" x="146"/>
        <item m="1" x="98"/>
        <item m="1" x="150"/>
        <item m="1" x="50"/>
        <item m="1" x="139"/>
        <item m="1" x="126"/>
        <item m="1" x="7"/>
        <item m="1" x="92"/>
        <item m="1" x="74"/>
        <item m="1" x="142"/>
        <item m="1" x="105"/>
        <item m="1" x="140"/>
        <item m="1" x="15"/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11">
        <item m="1" x="7"/>
        <item m="1" x="9"/>
        <item m="1" x="6"/>
        <item m="1" x="5"/>
        <item x="0"/>
        <item m="1" x="4"/>
        <item m="1" x="8"/>
        <item m="1" x="3"/>
        <item m="1" x="1"/>
        <item m="1" x="2"/>
        <item t="default"/>
      </items>
    </pivotField>
  </pivotFields>
  <rowFields count="2">
    <field x="15"/>
    <field x="5"/>
  </rowFields>
  <rowItems count="8">
    <i>
      <x v="4"/>
    </i>
    <i r="1">
      <x v="146"/>
    </i>
    <i r="1">
      <x v="150"/>
    </i>
    <i r="1">
      <x v="147"/>
    </i>
    <i r="1">
      <x v="148"/>
    </i>
    <i r="1">
      <x v="149"/>
    </i>
    <i r="1">
      <x v="151"/>
    </i>
    <i t="grand">
      <x/>
    </i>
  </rowItems>
  <colFields count="1">
    <field x="-2"/>
  </colFields>
  <colItems count="2">
    <i>
      <x/>
    </i>
    <i i="1">
      <x v="1"/>
    </i>
  </colItems>
  <dataFields count="2">
    <dataField name="Design qty" fld="8" baseField="14" baseItem="0"/>
    <dataField name="EFF%" fld="9" showDataAs="percentOfCol" baseField="3" baseItem="0" numFmtId="10"/>
  </dataFields>
  <formats count="31">
    <format dxfId="248">
      <pivotArea type="all" dataOnly="0" outline="0" fieldPosition="0"/>
    </format>
    <format dxfId="247">
      <pivotArea outline="0" collapsedLevelsAreSubtotals="1" fieldPosition="0"/>
    </format>
    <format dxfId="246">
      <pivotArea field="3" type="button" dataOnly="0" labelOnly="1" outline="0"/>
    </format>
    <format dxfId="245">
      <pivotArea dataOnly="0" labelOnly="1" grandRow="1" outline="0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">
      <pivotArea outline="0" fieldPosition="0">
        <references count="1">
          <reference field="4294967294" count="1">
            <x v="1"/>
          </reference>
        </references>
      </pivotArea>
    </format>
    <format dxfId="242">
      <pivotArea collapsedLevelsAreSubtotals="1" fieldPosition="0">
        <references count="1">
          <reference field="5" count="0"/>
        </references>
      </pivotArea>
    </format>
    <format dxfId="241">
      <pivotArea dataOnly="0" labelOnly="1" fieldPosition="0">
        <references count="1">
          <reference field="5" count="0"/>
        </references>
      </pivotArea>
    </format>
    <format dxfId="240">
      <pivotArea dataOnly="0" grandRow="1" fieldPosition="0"/>
    </format>
    <format dxfId="239">
      <pivotArea outline="0" collapsedLevelsAreSubtotals="1" fieldPosition="0"/>
    </format>
    <format dxfId="238">
      <pivotArea dataOnly="0" labelOnly="1" outline="0" fieldPosition="0">
        <references count="1">
          <reference field="15" count="0"/>
        </references>
      </pivotArea>
    </format>
    <format dxfId="2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6">
      <pivotArea field="5" type="button" dataOnly="0" labelOnly="1" outline="0" axis="axisRow" fieldPosition="1"/>
    </format>
    <format dxfId="2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4">
      <pivotArea dataOnly="0" fieldPosition="0">
        <references count="1">
          <reference field="15" count="1">
            <x v="0"/>
          </reference>
        </references>
      </pivotArea>
    </format>
    <format dxfId="233">
      <pivotArea dataOnly="0" fieldPosition="0">
        <references count="1">
          <reference field="15" count="1">
            <x v="1"/>
          </reference>
        </references>
      </pivotArea>
    </format>
    <format dxfId="232">
      <pivotArea dataOnly="0" fieldPosition="0">
        <references count="1">
          <reference field="15" count="1">
            <x v="3"/>
          </reference>
        </references>
      </pivotArea>
    </format>
    <format dxfId="231">
      <pivotArea field="15" type="button" dataOnly="0" labelOnly="1" outline="0" axis="axisRow" fieldPosition="0"/>
    </format>
    <format dxfId="230">
      <pivotArea type="all" dataOnly="0" outline="0" fieldPosition="0"/>
    </format>
    <format dxfId="229">
      <pivotArea outline="0" collapsedLevelsAreSubtotals="1" fieldPosition="0"/>
    </format>
    <format dxfId="228">
      <pivotArea field="15" type="button" dataOnly="0" labelOnly="1" outline="0" axis="axisRow" fieldPosition="0"/>
    </format>
    <format dxfId="227">
      <pivotArea dataOnly="0" labelOnly="1" fieldPosition="0">
        <references count="1">
          <reference field="15" count="0"/>
        </references>
      </pivotArea>
    </format>
    <format dxfId="226">
      <pivotArea dataOnly="0" labelOnly="1" grandRow="1" outline="0" fieldPosition="0"/>
    </format>
    <format dxfId="225">
      <pivotArea dataOnly="0" labelOnly="1" fieldPosition="0">
        <references count="2">
          <reference field="5" count="19">
            <x v="0"/>
            <x v="2"/>
            <x v="3"/>
            <x v="4"/>
            <x v="6"/>
            <x v="11"/>
            <x v="22"/>
            <x v="23"/>
            <x v="24"/>
            <x v="25"/>
            <x v="26"/>
            <x v="27"/>
            <x v="29"/>
            <x v="33"/>
            <x v="35"/>
            <x v="36"/>
            <x v="39"/>
            <x v="40"/>
            <x v="41"/>
          </reference>
          <reference field="15" count="1" selected="0">
            <x v="0"/>
          </reference>
        </references>
      </pivotArea>
    </format>
    <format dxfId="224">
      <pivotArea dataOnly="0" labelOnly="1" fieldPosition="0">
        <references count="2">
          <reference field="5" count="8">
            <x v="3"/>
            <x v="21"/>
            <x v="28"/>
            <x v="30"/>
            <x v="31"/>
            <x v="32"/>
            <x v="37"/>
            <x v="38"/>
          </reference>
          <reference field="15" count="1" selected="0">
            <x v="1"/>
          </reference>
        </references>
      </pivotArea>
    </format>
    <format dxfId="223">
      <pivotArea dataOnly="0" labelOnly="1" fieldPosition="0">
        <references count="2">
          <reference field="5" count="1">
            <x v="34"/>
          </reference>
          <reference field="15" count="1" selected="0">
            <x v="3"/>
          </reference>
        </references>
      </pivotArea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1">
      <pivotArea collapsedLevelsAreSubtotals="1" fieldPosition="0">
        <references count="1">
          <reference field="15" count="0"/>
        </references>
      </pivotArea>
    </format>
    <format dxfId="220">
      <pivotArea field="15" type="button" dataOnly="0" labelOnly="1" outline="0" axis="axisRow" fieldPosition="0"/>
    </format>
    <format dxfId="219">
      <pivotArea dataOnly="0" labelOnly="1" fieldPosition="0">
        <references count="1">
          <reference field="15" count="0"/>
        </references>
      </pivotArea>
    </format>
    <format dxfId="2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5" count="10">
              <x v="0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116189-5BAB-42D2-8460-6DCD7639C617}" name="Table3" displayName="Table3" ref="U4:X13" totalsRowCount="1" tableBorderDxfId="61">
  <autoFilter ref="U4:X12" xr:uid="{95116189-5BAB-42D2-8460-6DCD7639C617}"/>
  <sortState xmlns:xlrd2="http://schemas.microsoft.com/office/spreadsheetml/2017/richdata2" ref="U5:X12">
    <sortCondition descending="1" ref="X4:X12"/>
  </sortState>
  <tableColumns count="4">
    <tableColumn id="1" xr3:uid="{25E29A19-5AB5-4270-BA9F-FC38EB8C9E6F}" name="DESIGNER NAME" totalsRowLabel="TOTAL" dataDxfId="60" totalsRowDxfId="59"/>
    <tableColumn id="2" xr3:uid="{D7B3C088-399A-4592-8F28-EA72731CD3B8}" name="CURRENT POINTS" totalsRowFunction="sum" dataDxfId="58" totalsRowDxfId="57">
      <calculatedColumnFormula>SUMIFS('CAD DATA SOURCE'!$J:$J,'CAD DATA SOURCE'!$D:$D,U5)</calculatedColumnFormula>
    </tableColumn>
    <tableColumn id="3" xr3:uid="{B8334316-68C1-45AE-9226-3161BB4F6BF1}" name="TARGET" totalsRowFunction="sum" dataDxfId="56" totalsRowDxfId="55"/>
    <tableColumn id="4" xr3:uid="{B830D30F-1DB2-4A31-9D18-2AF948BD37DE}" name="PERCENTAGE" totalsRowFunction="custom" dataDxfId="54" totalsRowDxfId="53">
      <calculatedColumnFormula>(V5/W5)*100</calculatedColumnFormula>
      <totalsRowFormula>(Table3[[#Totals],[CURRENT POINTS]]/Table3[[#Totals],[TARGET]])*100</totalsRow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1F6D86-9BA2-445E-9E1A-A7786F812202}" name="Table2" displayName="Table2" ref="R2:S17" totalsRowShown="0" headerRowDxfId="52" dataDxfId="51" tableBorderDxfId="50">
  <autoFilter ref="R2:S17" xr:uid="{E41F6D86-9BA2-445E-9E1A-A7786F812202}"/>
  <tableColumns count="2">
    <tableColumn id="1" xr3:uid="{460B57FB-CBDE-4700-927A-2BA49CE09AA1}" name="CAD DESIGNER" dataDxfId="49" dataCellStyle="Normal 2"/>
    <tableColumn id="2" xr3:uid="{E9A126E3-F1FD-4AEC-AAFD-99AD2B23366B}" name="LOCATION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09252-5AD8-49B1-97E4-E1B4AB47410F}" name="Table1" displayName="Table1" ref="A2:P32" headerRowDxfId="47" dataDxfId="46">
  <autoFilter ref="A2:P32" xr:uid="{9D709252-5AD8-49B1-97E4-E1B4AB47410F}"/>
  <sortState xmlns:xlrd2="http://schemas.microsoft.com/office/spreadsheetml/2017/richdata2" ref="A3:P32">
    <sortCondition ref="K2:K32"/>
  </sortState>
  <tableColumns count="16">
    <tableColumn id="1" xr3:uid="{81ADEE85-2E79-4998-930C-277B1EA56B56}" name="S.no" totalsRowLabel="Total" dataDxfId="45" totalsRowDxfId="44"/>
    <tableColumn id="2" xr3:uid="{2EE14BDA-AD57-4FF4-9711-FA9DBE8F02F2}" name="Order type" dataDxfId="43" totalsRowDxfId="42"/>
    <tableColumn id="3" xr3:uid="{821C0867-D352-4F48-8EEA-C874D738E03A}" name=" Designer" dataDxfId="41" totalsRowDxfId="40"/>
    <tableColumn id="4" xr3:uid="{CD83C785-88B4-4040-A87A-C8FDEBA871A7}" name="Cad Designer" dataDxfId="39" totalsRowDxfId="38"/>
    <tableColumn id="5" xr3:uid="{25AF9FAE-A6CF-4BF7-85B5-5C70E97313B2}" name="Cad design no" dataDxfId="37" totalsRowDxfId="36"/>
    <tableColumn id="6" xr3:uid="{6AE841C0-F50A-43D6-9C5E-E2DCFA6620F1}" name="Collection name" dataDxfId="35" totalsRowDxfId="34"/>
    <tableColumn id="7" xr3:uid="{5101BED8-2DB4-4766-A6E6-D257A3A5B30A}" name="Project" dataDxfId="33" totalsRowDxfId="32"/>
    <tableColumn id="8" xr3:uid="{6A8FA58C-5332-438E-B18C-89050B86B9B4}" name="Product" dataDxfId="31" totalsRowDxfId="30"/>
    <tableColumn id="9" xr3:uid="{48C1F36A-88FA-4972-A604-85BA72437657}" name="Nod" dataDxfId="29" totalsRowDxfId="28"/>
    <tableColumn id="10" xr3:uid="{7CEE7C42-CB7D-4F9F-9372-38479BC185AC}" name="Points" dataDxfId="27" totalsRowDxfId="26"/>
    <tableColumn id="11" xr3:uid="{4A6C4FC7-D3C5-42E7-A2FA-2DAB86ED559E}" name="Cam date" dataDxfId="25" totalsRowDxfId="24"/>
    <tableColumn id="12" xr3:uid="{C331244A-C460-474C-8A35-99E397030B6B}" name="Karat" dataDxfId="23" totalsRowDxfId="22"/>
    <tableColumn id="13" xr3:uid="{493DC976-98A7-4CE6-8A21-2CF1DDA485EF}" name="Dc/Die" dataDxfId="21" totalsRowDxfId="20"/>
    <tableColumn id="14" xr3:uid="{4632CF84-D81B-413D-B0E6-DE9D43B41147}" name="Status" dataDxfId="19" totalsRowDxfId="18"/>
    <tableColumn id="16" xr3:uid="{A974D35F-3BEF-4C9C-B610-8CFD887B57C0}" name="TIME TAKEN" dataDxfId="17" totalsRowDxfId="16"/>
    <tableColumn id="15" xr3:uid="{E2CB4C81-3133-463F-B423-B3AF4513691E}" name="Cad location" totalsRowFunction="count" dataDxfId="15" totalsRowDxfId="14"/>
  </tableColumns>
  <tableStyleInfo name="TableStyleMedium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CA9E02-5018-4482-A3C4-D03D1FE21055}" name="Table5" displayName="Table5" ref="A2:A14" totalsRowShown="0" headerRowDxfId="13" dataDxfId="11" headerRowBorderDxfId="12" tableBorderDxfId="10" totalsRowBorderDxfId="9">
  <autoFilter ref="A2:A14" xr:uid="{60CA9E02-5018-4482-A3C4-D03D1FE21055}"/>
  <tableColumns count="1">
    <tableColumn id="3" xr3:uid="{AB4061E9-440E-4921-BE0C-FB195C1CCCA3}" name="ITEM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94FBB6-7791-42D7-A080-45E7EC81788F}">
  <we:reference id="wa200006009" version="2.1.2.10" store="en-US" storeType="OMEX"/>
  <we:alternateReferences>
    <we:reference id="wa200006009" version="2.1.2.1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CE58-874A-4C35-A724-73A1B2E7C1B8}">
  <sheetPr>
    <tabColor rgb="FF00B0F0"/>
  </sheetPr>
  <dimension ref="A1:X107"/>
  <sheetViews>
    <sheetView zoomScale="130" zoomScaleNormal="130" workbookViewId="0">
      <selection activeCell="W18" sqref="W18"/>
    </sheetView>
  </sheetViews>
  <sheetFormatPr defaultRowHeight="15" x14ac:dyDescent="0.25"/>
  <cols>
    <col min="1" max="1" width="20.85546875" style="7" bestFit="1" customWidth="1"/>
    <col min="2" max="2" width="11.85546875" style="5" bestFit="1" customWidth="1"/>
    <col min="3" max="3" width="5.42578125" style="5" bestFit="1" customWidth="1"/>
    <col min="4" max="4" width="8.5703125" style="5" bestFit="1" customWidth="1"/>
    <col min="5" max="5" width="4.140625" style="7" customWidth="1"/>
    <col min="6" max="6" width="23.42578125" style="7" bestFit="1" customWidth="1"/>
    <col min="7" max="7" width="10.28515625" style="7" bestFit="1" customWidth="1"/>
    <col min="8" max="8" width="5.42578125" style="7" bestFit="1" customWidth="1"/>
    <col min="9" max="9" width="8.5703125" style="7" bestFit="1" customWidth="1"/>
    <col min="10" max="10" width="12.5703125" style="7" customWidth="1"/>
    <col min="11" max="11" width="19" style="7" bestFit="1" customWidth="1"/>
    <col min="12" max="12" width="11.85546875" style="5" bestFit="1" customWidth="1"/>
    <col min="13" max="13" width="5.42578125" style="5" bestFit="1" customWidth="1"/>
    <col min="14" max="14" width="8.5703125" style="5" bestFit="1" customWidth="1"/>
    <col min="15" max="15" width="14.28515625" style="7" customWidth="1"/>
    <col min="16" max="16" width="20.42578125" style="7" bestFit="1" customWidth="1"/>
    <col min="17" max="17" width="10.28515625" style="5" bestFit="1" customWidth="1"/>
    <col min="18" max="18" width="8.5703125" style="5" bestFit="1" customWidth="1"/>
    <col min="19" max="19" width="10.140625" style="7" customWidth="1"/>
    <col min="20" max="20" width="2.5703125" style="7" customWidth="1"/>
    <col min="21" max="21" width="24.28515625" style="7" customWidth="1"/>
    <col min="22" max="22" width="21" style="7" bestFit="1" customWidth="1"/>
    <col min="23" max="23" width="12.42578125" style="7" bestFit="1" customWidth="1"/>
    <col min="24" max="24" width="17.140625" style="7" bestFit="1" customWidth="1"/>
    <col min="25" max="16384" width="9.140625" style="7"/>
  </cols>
  <sheetData>
    <row r="1" spans="1:24" ht="15.75" thickBot="1" x14ac:dyDescent="0.3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24" x14ac:dyDescent="0.25">
      <c r="K2" s="10" t="s">
        <v>14</v>
      </c>
      <c r="L2" s="3" t="s">
        <v>48</v>
      </c>
      <c r="Q2" s="7"/>
    </row>
    <row r="3" spans="1:24" x14ac:dyDescent="0.25">
      <c r="A3" s="58" t="s">
        <v>19</v>
      </c>
      <c r="B3" s="59"/>
      <c r="C3" s="59"/>
      <c r="D3" s="60"/>
      <c r="F3" s="62" t="s">
        <v>21</v>
      </c>
      <c r="G3" s="62"/>
      <c r="H3" s="62"/>
      <c r="I3" s="62"/>
      <c r="K3" s="63" t="s">
        <v>22</v>
      </c>
      <c r="L3" s="63"/>
      <c r="M3" s="64"/>
      <c r="N3" s="64"/>
      <c r="P3" s="56" t="s">
        <v>25</v>
      </c>
      <c r="Q3" s="56"/>
      <c r="R3" s="56"/>
    </row>
    <row r="4" spans="1:24" x14ac:dyDescent="0.25">
      <c r="A4" s="12" t="s">
        <v>19</v>
      </c>
      <c r="B4" s="13" t="s">
        <v>27</v>
      </c>
      <c r="C4" s="13" t="s">
        <v>18</v>
      </c>
      <c r="D4" s="13" t="s">
        <v>16</v>
      </c>
      <c r="F4" s="14" t="s">
        <v>19</v>
      </c>
      <c r="G4" s="15" t="s">
        <v>17</v>
      </c>
      <c r="H4" s="15" t="s">
        <v>18</v>
      </c>
      <c r="I4" s="15" t="s">
        <v>16</v>
      </c>
      <c r="K4" s="16" t="s">
        <v>19</v>
      </c>
      <c r="L4" s="17" t="s">
        <v>17</v>
      </c>
      <c r="M4" s="17" t="s">
        <v>18</v>
      </c>
      <c r="N4" s="17" t="s">
        <v>16</v>
      </c>
      <c r="P4" s="18" t="s">
        <v>19</v>
      </c>
      <c r="Q4" s="18" t="s">
        <v>17</v>
      </c>
      <c r="R4" s="18" t="s">
        <v>16</v>
      </c>
      <c r="U4" s="29" t="s">
        <v>23</v>
      </c>
      <c r="V4" s="27" t="s">
        <v>40</v>
      </c>
      <c r="W4" s="27" t="s">
        <v>39</v>
      </c>
      <c r="X4" s="29" t="s">
        <v>41</v>
      </c>
    </row>
    <row r="5" spans="1:24" x14ac:dyDescent="0.25">
      <c r="A5" s="35" t="s">
        <v>51</v>
      </c>
      <c r="B5" s="3">
        <v>8</v>
      </c>
      <c r="C5" s="3">
        <v>11.500000000000002</v>
      </c>
      <c r="D5" s="33">
        <v>0.16911764705882357</v>
      </c>
      <c r="E5" s="9"/>
      <c r="F5" s="4" t="s">
        <v>51</v>
      </c>
      <c r="G5" s="2">
        <v>8</v>
      </c>
      <c r="H5" s="2">
        <v>11.500000000000002</v>
      </c>
      <c r="I5" s="11">
        <v>0.16911764705882357</v>
      </c>
      <c r="K5" s="4" t="s">
        <v>67</v>
      </c>
      <c r="L5" s="2">
        <v>16</v>
      </c>
      <c r="M5" s="2">
        <v>20.100000000000001</v>
      </c>
      <c r="N5" s="11">
        <v>0.29558823529411765</v>
      </c>
      <c r="P5" s="18" t="s">
        <v>48</v>
      </c>
      <c r="Q5" s="18">
        <v>50</v>
      </c>
      <c r="R5" s="38">
        <v>1</v>
      </c>
      <c r="U5" s="8" t="s">
        <v>51</v>
      </c>
      <c r="V5" s="3">
        <f>SUMIFS('CAD DATA SOURCE'!$J:$J,'CAD DATA SOURCE'!$D:$D,U5)</f>
        <v>11.500000000000002</v>
      </c>
      <c r="W5" s="26">
        <v>22</v>
      </c>
      <c r="X5" s="28">
        <f t="shared" ref="X5:X12" si="0">(V5/W5)*100</f>
        <v>52.27272727272728</v>
      </c>
    </row>
    <row r="6" spans="1:24" x14ac:dyDescent="0.25">
      <c r="A6" s="35" t="s">
        <v>58</v>
      </c>
      <c r="B6" s="3">
        <v>7</v>
      </c>
      <c r="C6" s="3">
        <v>9.6</v>
      </c>
      <c r="D6" s="33">
        <v>0.14117647058823529</v>
      </c>
      <c r="F6" s="34" t="s">
        <v>31</v>
      </c>
      <c r="G6" s="3">
        <v>2</v>
      </c>
      <c r="H6" s="3">
        <v>2.1</v>
      </c>
      <c r="I6" s="33">
        <v>3.0882352941176472E-2</v>
      </c>
      <c r="K6" s="34" t="s">
        <v>77</v>
      </c>
      <c r="L6" s="3">
        <v>5</v>
      </c>
      <c r="M6" s="3">
        <v>6.4</v>
      </c>
      <c r="N6" s="33">
        <v>9.4117647058823528E-2</v>
      </c>
      <c r="P6" s="37" t="s">
        <v>66</v>
      </c>
      <c r="Q6" s="3">
        <v>10</v>
      </c>
      <c r="R6" s="33">
        <v>0.2014705882352941</v>
      </c>
      <c r="U6" s="8" t="s">
        <v>58</v>
      </c>
      <c r="V6" s="3">
        <f>SUMIFS('CAD DATA SOURCE'!$J:$J,'CAD DATA SOURCE'!$D:$D,U6)</f>
        <v>9.6</v>
      </c>
      <c r="W6" s="8">
        <v>25</v>
      </c>
      <c r="X6" s="28">
        <f t="shared" si="0"/>
        <v>38.4</v>
      </c>
    </row>
    <row r="7" spans="1:24" x14ac:dyDescent="0.25">
      <c r="A7" s="35" t="s">
        <v>61</v>
      </c>
      <c r="B7" s="3">
        <v>7</v>
      </c>
      <c r="C7" s="3">
        <v>9.1000000000000014</v>
      </c>
      <c r="D7" s="33">
        <v>0.13382352941176473</v>
      </c>
      <c r="E7" s="7" t="s">
        <v>26</v>
      </c>
      <c r="F7" s="34" t="s">
        <v>36</v>
      </c>
      <c r="G7" s="3">
        <v>3</v>
      </c>
      <c r="H7" s="3">
        <v>4.8</v>
      </c>
      <c r="I7" s="33">
        <v>7.0588235294117646E-2</v>
      </c>
      <c r="K7" s="34" t="s">
        <v>66</v>
      </c>
      <c r="L7" s="3">
        <v>4</v>
      </c>
      <c r="M7" s="3">
        <v>4.5999999999999996</v>
      </c>
      <c r="N7" s="33">
        <v>6.7647058823529407E-2</v>
      </c>
      <c r="P7" s="37" t="s">
        <v>85</v>
      </c>
      <c r="Q7" s="3">
        <v>9</v>
      </c>
      <c r="R7" s="33">
        <v>0.17205882352941176</v>
      </c>
      <c r="U7" s="8" t="s">
        <v>61</v>
      </c>
      <c r="V7" s="3">
        <f>SUMIFS('CAD DATA SOURCE'!$J:$J,'CAD DATA SOURCE'!$D:$D,U7)</f>
        <v>9.1000000000000014</v>
      </c>
      <c r="W7" s="36">
        <v>25</v>
      </c>
      <c r="X7" s="28">
        <f t="shared" si="0"/>
        <v>36.400000000000006</v>
      </c>
    </row>
    <row r="8" spans="1:24" x14ac:dyDescent="0.25">
      <c r="A8" s="35" t="s">
        <v>59</v>
      </c>
      <c r="B8" s="3">
        <v>5</v>
      </c>
      <c r="C8" s="3">
        <v>9.1</v>
      </c>
      <c r="D8" s="33">
        <v>0.1338235294117647</v>
      </c>
      <c r="F8" s="34" t="s">
        <v>35</v>
      </c>
      <c r="G8" s="3">
        <v>1</v>
      </c>
      <c r="H8" s="3">
        <v>2.2000000000000002</v>
      </c>
      <c r="I8" s="33">
        <v>3.2352941176470591E-2</v>
      </c>
      <c r="K8" s="34" t="s">
        <v>85</v>
      </c>
      <c r="L8" s="3">
        <v>3</v>
      </c>
      <c r="M8" s="3">
        <v>4.5999999999999996</v>
      </c>
      <c r="N8" s="33">
        <v>6.7647058823529407E-2</v>
      </c>
      <c r="P8" s="37" t="s">
        <v>72</v>
      </c>
      <c r="Q8" s="3">
        <v>8</v>
      </c>
      <c r="R8" s="33">
        <v>0.17058823529411762</v>
      </c>
      <c r="U8" s="8" t="s">
        <v>59</v>
      </c>
      <c r="V8" s="3">
        <f>SUMIFS('CAD DATA SOURCE'!$J:$J,'CAD DATA SOURCE'!$D:$D,U8)</f>
        <v>9.1</v>
      </c>
      <c r="W8" s="45">
        <v>23.5</v>
      </c>
      <c r="X8" s="28">
        <f t="shared" si="0"/>
        <v>38.723404255319153</v>
      </c>
    </row>
    <row r="9" spans="1:24" x14ac:dyDescent="0.25">
      <c r="A9" s="35" t="s">
        <v>63</v>
      </c>
      <c r="B9" s="3">
        <v>7</v>
      </c>
      <c r="C9" s="3">
        <v>9</v>
      </c>
      <c r="D9" s="33">
        <v>0.13235294117647059</v>
      </c>
      <c r="F9" s="34" t="s">
        <v>34</v>
      </c>
      <c r="G9" s="3">
        <v>2</v>
      </c>
      <c r="H9" s="3">
        <v>2.4</v>
      </c>
      <c r="I9" s="33">
        <v>3.5294117647058823E-2</v>
      </c>
      <c r="K9" s="34" t="s">
        <v>88</v>
      </c>
      <c r="L9" s="3">
        <v>4</v>
      </c>
      <c r="M9" s="3">
        <v>4.5</v>
      </c>
      <c r="N9" s="33">
        <v>6.6176470588235295E-2</v>
      </c>
      <c r="P9" s="37" t="s">
        <v>77</v>
      </c>
      <c r="Q9" s="3">
        <v>10</v>
      </c>
      <c r="R9" s="33">
        <v>0.16323529411764709</v>
      </c>
      <c r="U9" s="8" t="s">
        <v>63</v>
      </c>
      <c r="V9" s="3">
        <f>SUMIFS('CAD DATA SOURCE'!$J:$J,'CAD DATA SOURCE'!$D:$D,U9)</f>
        <v>9</v>
      </c>
      <c r="W9" s="25">
        <v>27</v>
      </c>
      <c r="X9" s="28">
        <f t="shared" si="0"/>
        <v>33.333333333333329</v>
      </c>
    </row>
    <row r="10" spans="1:24" x14ac:dyDescent="0.25">
      <c r="A10" s="35" t="s">
        <v>53</v>
      </c>
      <c r="B10" s="3">
        <v>7</v>
      </c>
      <c r="C10" s="3">
        <v>9</v>
      </c>
      <c r="D10" s="33">
        <v>0.13235294117647059</v>
      </c>
      <c r="F10" s="4" t="s">
        <v>58</v>
      </c>
      <c r="G10" s="2">
        <v>7</v>
      </c>
      <c r="H10" s="2">
        <v>9.6</v>
      </c>
      <c r="I10" s="11">
        <v>0.14117647058823529</v>
      </c>
      <c r="K10" s="4" t="s">
        <v>73</v>
      </c>
      <c r="L10" s="2">
        <v>14</v>
      </c>
      <c r="M10" s="2">
        <v>18.100000000000001</v>
      </c>
      <c r="N10" s="11">
        <v>0.26617647058823529</v>
      </c>
      <c r="P10" s="37" t="s">
        <v>82</v>
      </c>
      <c r="Q10" s="3">
        <v>6</v>
      </c>
      <c r="R10" s="33">
        <v>0.16029411764705881</v>
      </c>
      <c r="U10" s="8" t="s">
        <v>53</v>
      </c>
      <c r="V10" s="3">
        <f>SUMIFS('CAD DATA SOURCE'!$J:$J,'CAD DATA SOURCE'!$D:$D,U10)</f>
        <v>9</v>
      </c>
      <c r="W10" s="36">
        <v>25</v>
      </c>
      <c r="X10" s="28">
        <f t="shared" si="0"/>
        <v>36</v>
      </c>
    </row>
    <row r="11" spans="1:24" x14ac:dyDescent="0.25">
      <c r="A11" s="35" t="s">
        <v>52</v>
      </c>
      <c r="B11" s="3">
        <v>6</v>
      </c>
      <c r="C11" s="3">
        <v>8.4</v>
      </c>
      <c r="D11" s="33">
        <v>0.12352941176470589</v>
      </c>
      <c r="F11" s="34" t="s">
        <v>31</v>
      </c>
      <c r="G11" s="3">
        <v>4</v>
      </c>
      <c r="H11" s="3">
        <v>4.6999999999999993</v>
      </c>
      <c r="I11" s="33">
        <v>6.911764705882352E-2</v>
      </c>
      <c r="K11" s="34" t="s">
        <v>72</v>
      </c>
      <c r="L11" s="3">
        <v>5</v>
      </c>
      <c r="M11" s="3">
        <v>7</v>
      </c>
      <c r="N11" s="33">
        <v>0.10294117647058823</v>
      </c>
      <c r="P11" s="37" t="s">
        <v>88</v>
      </c>
      <c r="Q11" s="3">
        <v>7</v>
      </c>
      <c r="R11" s="33">
        <v>0.13235294117647059</v>
      </c>
      <c r="U11" s="8" t="s">
        <v>52</v>
      </c>
      <c r="V11" s="3">
        <f>SUMIFS('CAD DATA SOURCE'!$J:$J,'CAD DATA SOURCE'!$D:$D,U11)</f>
        <v>8.4</v>
      </c>
      <c r="W11" s="25">
        <v>32</v>
      </c>
      <c r="X11" s="28">
        <f t="shared" si="0"/>
        <v>26.25</v>
      </c>
    </row>
    <row r="12" spans="1:24" x14ac:dyDescent="0.25">
      <c r="A12" s="35" t="s">
        <v>57</v>
      </c>
      <c r="B12" s="3">
        <v>3</v>
      </c>
      <c r="C12" s="3">
        <v>2.2999999999999998</v>
      </c>
      <c r="D12" s="33">
        <v>3.3823529411764704E-2</v>
      </c>
      <c r="F12" s="34" t="s">
        <v>36</v>
      </c>
      <c r="G12" s="3">
        <v>1</v>
      </c>
      <c r="H12" s="3">
        <v>2.4</v>
      </c>
      <c r="I12" s="33">
        <v>3.5294117647058823E-2</v>
      </c>
      <c r="K12" s="34" t="s">
        <v>66</v>
      </c>
      <c r="L12" s="3">
        <v>3</v>
      </c>
      <c r="M12" s="3">
        <v>4.5</v>
      </c>
      <c r="N12" s="33">
        <v>6.6176470588235295E-2</v>
      </c>
      <c r="P12" s="4" t="s">
        <v>15</v>
      </c>
      <c r="Q12" s="2">
        <v>50</v>
      </c>
      <c r="R12" s="11">
        <v>1</v>
      </c>
      <c r="U12" s="8" t="s">
        <v>57</v>
      </c>
      <c r="V12" s="3">
        <f>SUMIFS('CAD DATA SOURCE'!$J:$J,'CAD DATA SOURCE'!$D:$D,U12)</f>
        <v>2.2999999999999998</v>
      </c>
      <c r="W12" s="25">
        <v>24.5</v>
      </c>
      <c r="X12" s="28">
        <f t="shared" si="0"/>
        <v>9.3877551020408152</v>
      </c>
    </row>
    <row r="13" spans="1:24" x14ac:dyDescent="0.25">
      <c r="A13" s="19" t="s">
        <v>15</v>
      </c>
      <c r="B13" s="13">
        <v>50</v>
      </c>
      <c r="C13" s="13">
        <v>68</v>
      </c>
      <c r="D13" s="20">
        <v>1</v>
      </c>
      <c r="F13" s="34" t="s">
        <v>78</v>
      </c>
      <c r="G13" s="3">
        <v>2</v>
      </c>
      <c r="H13" s="3">
        <v>2.5</v>
      </c>
      <c r="I13" s="33">
        <v>3.6764705882352942E-2</v>
      </c>
      <c r="K13" s="34" t="s">
        <v>82</v>
      </c>
      <c r="L13" s="3">
        <v>3</v>
      </c>
      <c r="M13" s="3">
        <v>4.3</v>
      </c>
      <c r="N13" s="33">
        <v>6.3235294117647056E-2</v>
      </c>
      <c r="P13"/>
      <c r="Q13"/>
      <c r="R13"/>
      <c r="U13" s="46" t="s">
        <v>115</v>
      </c>
      <c r="V13" s="47">
        <f>SUBTOTAL(109,Table3[CURRENT POINTS])</f>
        <v>68</v>
      </c>
      <c r="W13" s="47">
        <f>SUBTOTAL(109,Table3[TARGET])</f>
        <v>204</v>
      </c>
      <c r="X13" s="48">
        <f>(Table3[[#Totals],[CURRENT POINTS]]/Table3[[#Totals],[TARGET]])*100</f>
        <v>33.333333333333329</v>
      </c>
    </row>
    <row r="14" spans="1:24" x14ac:dyDescent="0.25">
      <c r="A14"/>
      <c r="B14"/>
      <c r="C14"/>
      <c r="D14"/>
      <c r="F14" s="4" t="s">
        <v>52</v>
      </c>
      <c r="G14" s="2">
        <v>6</v>
      </c>
      <c r="H14" s="2">
        <v>8.4</v>
      </c>
      <c r="I14" s="11">
        <v>0.12352941176470589</v>
      </c>
      <c r="K14" s="34" t="s">
        <v>85</v>
      </c>
      <c r="L14" s="3">
        <v>3</v>
      </c>
      <c r="M14" s="3">
        <v>2.2999999999999998</v>
      </c>
      <c r="N14" s="33">
        <v>3.3823529411764704E-2</v>
      </c>
      <c r="P14"/>
      <c r="Q14"/>
      <c r="R14"/>
    </row>
    <row r="15" spans="1:24" x14ac:dyDescent="0.25">
      <c r="A15"/>
      <c r="B15"/>
      <c r="C15"/>
      <c r="D15"/>
      <c r="F15" s="34" t="s">
        <v>31</v>
      </c>
      <c r="G15" s="3">
        <v>1</v>
      </c>
      <c r="H15" s="3">
        <v>2.1</v>
      </c>
      <c r="I15" s="33">
        <v>3.0882352941176472E-2</v>
      </c>
      <c r="K15" s="4" t="s">
        <v>83</v>
      </c>
      <c r="L15" s="2">
        <v>10</v>
      </c>
      <c r="M15" s="2">
        <v>16</v>
      </c>
      <c r="N15" s="11">
        <v>0.23529411764705882</v>
      </c>
      <c r="P15"/>
      <c r="Q15"/>
      <c r="R15"/>
    </row>
    <row r="16" spans="1:24" x14ac:dyDescent="0.25">
      <c r="A16"/>
      <c r="B16"/>
      <c r="C16"/>
      <c r="D16"/>
      <c r="F16" s="34" t="s">
        <v>78</v>
      </c>
      <c r="G16" s="3">
        <v>5</v>
      </c>
      <c r="H16" s="3">
        <v>6.3000000000000007</v>
      </c>
      <c r="I16" s="33">
        <v>9.2647058823529416E-2</v>
      </c>
      <c r="K16" s="34" t="s">
        <v>66</v>
      </c>
      <c r="L16" s="3">
        <v>3</v>
      </c>
      <c r="M16" s="3">
        <v>4.5999999999999996</v>
      </c>
      <c r="N16" s="33">
        <v>6.7647058823529407E-2</v>
      </c>
      <c r="P16"/>
      <c r="Q16"/>
      <c r="R16"/>
    </row>
    <row r="17" spans="1:18" x14ac:dyDescent="0.25">
      <c r="A17"/>
      <c r="B17"/>
      <c r="C17"/>
      <c r="D17"/>
      <c r="F17" s="4" t="s">
        <v>61</v>
      </c>
      <c r="G17" s="2">
        <v>7</v>
      </c>
      <c r="H17" s="2">
        <v>9.1</v>
      </c>
      <c r="I17" s="11">
        <v>0.1338235294117647</v>
      </c>
      <c r="K17" s="34" t="s">
        <v>72</v>
      </c>
      <c r="L17" s="3">
        <v>3</v>
      </c>
      <c r="M17" s="3">
        <v>4.5999999999999996</v>
      </c>
      <c r="N17" s="33">
        <v>6.7647058823529407E-2</v>
      </c>
      <c r="P17"/>
      <c r="Q17"/>
      <c r="R17"/>
    </row>
    <row r="18" spans="1:18" x14ac:dyDescent="0.25">
      <c r="F18" s="34" t="s">
        <v>32</v>
      </c>
      <c r="G18" s="3">
        <v>4</v>
      </c>
      <c r="H18" s="3">
        <v>4.5999999999999996</v>
      </c>
      <c r="I18" s="33">
        <v>6.7647058823529407E-2</v>
      </c>
      <c r="K18" s="34" t="s">
        <v>82</v>
      </c>
      <c r="L18" s="3">
        <v>2</v>
      </c>
      <c r="M18" s="3">
        <v>4.3</v>
      </c>
      <c r="N18" s="33">
        <v>6.3235294117647056E-2</v>
      </c>
      <c r="P18"/>
      <c r="Q18"/>
      <c r="R18"/>
    </row>
    <row r="19" spans="1:18" x14ac:dyDescent="0.25">
      <c r="F19" s="34" t="s">
        <v>34</v>
      </c>
      <c r="G19" s="3">
        <v>3</v>
      </c>
      <c r="H19" s="3">
        <v>4.5</v>
      </c>
      <c r="I19" s="33">
        <v>6.6176470588235295E-2</v>
      </c>
      <c r="K19" s="34" t="s">
        <v>77</v>
      </c>
      <c r="L19" s="3">
        <v>2</v>
      </c>
      <c r="M19" s="3">
        <v>2.5</v>
      </c>
      <c r="N19" s="33">
        <v>3.6764705882352942E-2</v>
      </c>
      <c r="P19"/>
      <c r="Q19"/>
      <c r="R19"/>
    </row>
    <row r="20" spans="1:18" x14ac:dyDescent="0.25">
      <c r="A20" s="10" t="s">
        <v>14</v>
      </c>
      <c r="B20" s="3" t="s">
        <v>48</v>
      </c>
      <c r="F20" s="4" t="s">
        <v>57</v>
      </c>
      <c r="G20" s="2">
        <v>3</v>
      </c>
      <c r="H20" s="2">
        <v>2.2999999999999998</v>
      </c>
      <c r="I20" s="11">
        <v>3.3823529411764704E-2</v>
      </c>
      <c r="K20" s="4" t="s">
        <v>89</v>
      </c>
      <c r="L20" s="2">
        <v>10</v>
      </c>
      <c r="M20" s="2">
        <v>13.8</v>
      </c>
      <c r="N20" s="11">
        <v>0.20294117647058824</v>
      </c>
      <c r="P20"/>
      <c r="Q20"/>
      <c r="R20"/>
    </row>
    <row r="21" spans="1:18" x14ac:dyDescent="0.25">
      <c r="A21" s="61" t="s">
        <v>20</v>
      </c>
      <c r="B21" s="61"/>
      <c r="C21" s="61"/>
      <c r="D21" s="61"/>
      <c r="F21" s="34" t="s">
        <v>31</v>
      </c>
      <c r="G21" s="3">
        <v>3</v>
      </c>
      <c r="H21" s="3">
        <v>2.2999999999999998</v>
      </c>
      <c r="I21" s="33">
        <v>3.3823529411764704E-2</v>
      </c>
      <c r="K21" s="34" t="s">
        <v>85</v>
      </c>
      <c r="L21" s="3">
        <v>3</v>
      </c>
      <c r="M21" s="3">
        <v>4.8</v>
      </c>
      <c r="N21" s="33">
        <v>7.0588235294117646E-2</v>
      </c>
      <c r="P21"/>
      <c r="Q21"/>
      <c r="R21"/>
    </row>
    <row r="22" spans="1:18" x14ac:dyDescent="0.25">
      <c r="A22" s="21" t="s">
        <v>20</v>
      </c>
      <c r="B22" s="24" t="s">
        <v>17</v>
      </c>
      <c r="C22" s="24" t="s">
        <v>18</v>
      </c>
      <c r="D22" s="24" t="s">
        <v>16</v>
      </c>
      <c r="F22" s="4" t="s">
        <v>59</v>
      </c>
      <c r="G22" s="2">
        <v>5</v>
      </c>
      <c r="H22" s="2">
        <v>9.1000000000000014</v>
      </c>
      <c r="I22" s="11">
        <v>0.13382352941176473</v>
      </c>
      <c r="K22" s="34" t="s">
        <v>88</v>
      </c>
      <c r="L22" s="3">
        <v>3</v>
      </c>
      <c r="M22" s="3">
        <v>4.5</v>
      </c>
      <c r="N22" s="33">
        <v>6.6176470588235295E-2</v>
      </c>
      <c r="P22"/>
      <c r="Q22"/>
      <c r="R22"/>
    </row>
    <row r="23" spans="1:18" x14ac:dyDescent="0.25">
      <c r="A23" s="35" t="s">
        <v>67</v>
      </c>
      <c r="B23" s="3">
        <v>16</v>
      </c>
      <c r="C23" s="3">
        <v>20.100000000000001</v>
      </c>
      <c r="D23" s="33">
        <v>0.29558823529411765</v>
      </c>
      <c r="F23" s="34" t="s">
        <v>32</v>
      </c>
      <c r="G23" s="3">
        <v>2</v>
      </c>
      <c r="H23" s="3">
        <v>2.5</v>
      </c>
      <c r="I23" s="33">
        <v>3.6764705882352942E-2</v>
      </c>
      <c r="K23" s="34" t="s">
        <v>82</v>
      </c>
      <c r="L23" s="3">
        <v>1</v>
      </c>
      <c r="M23" s="3">
        <v>2.2999999999999998</v>
      </c>
      <c r="N23" s="33">
        <v>3.3823529411764704E-2</v>
      </c>
      <c r="P23"/>
      <c r="Q23"/>
      <c r="R23"/>
    </row>
    <row r="24" spans="1:18" x14ac:dyDescent="0.25">
      <c r="A24" s="35" t="s">
        <v>73</v>
      </c>
      <c r="B24" s="3">
        <v>14</v>
      </c>
      <c r="C24" s="3">
        <v>18.099999999999998</v>
      </c>
      <c r="D24" s="33">
        <v>0.26617647058823524</v>
      </c>
      <c r="F24" s="34" t="s">
        <v>29</v>
      </c>
      <c r="G24" s="3">
        <v>3</v>
      </c>
      <c r="H24" s="3">
        <v>6.6000000000000005</v>
      </c>
      <c r="I24" s="33">
        <v>9.7058823529411767E-2</v>
      </c>
      <c r="K24" s="34" t="s">
        <v>77</v>
      </c>
      <c r="L24" s="3">
        <v>3</v>
      </c>
      <c r="M24" s="3">
        <v>2.2000000000000002</v>
      </c>
      <c r="N24" s="33">
        <v>3.2352941176470591E-2</v>
      </c>
      <c r="P24"/>
      <c r="Q24"/>
      <c r="R24"/>
    </row>
    <row r="25" spans="1:18" x14ac:dyDescent="0.25">
      <c r="A25" s="35" t="s">
        <v>83</v>
      </c>
      <c r="B25" s="3">
        <v>10</v>
      </c>
      <c r="C25" s="3">
        <v>15.999999999999998</v>
      </c>
      <c r="D25" s="33">
        <v>0.23529411764705879</v>
      </c>
      <c r="F25" s="4" t="s">
        <v>63</v>
      </c>
      <c r="G25" s="2">
        <v>7</v>
      </c>
      <c r="H25" s="2">
        <v>9</v>
      </c>
      <c r="I25" s="11">
        <v>0.13235294117647059</v>
      </c>
      <c r="K25" s="4" t="s">
        <v>15</v>
      </c>
      <c r="L25" s="2">
        <v>50</v>
      </c>
      <c r="M25" s="2">
        <v>68</v>
      </c>
      <c r="N25" s="11">
        <v>1</v>
      </c>
      <c r="P25"/>
      <c r="Q25"/>
      <c r="R25"/>
    </row>
    <row r="26" spans="1:18" x14ac:dyDescent="0.25">
      <c r="A26" s="35" t="s">
        <v>89</v>
      </c>
      <c r="B26" s="3">
        <v>10</v>
      </c>
      <c r="C26" s="3">
        <v>13.8</v>
      </c>
      <c r="D26" s="33">
        <v>0.20294117647058824</v>
      </c>
      <c r="F26" s="34" t="s">
        <v>32</v>
      </c>
      <c r="G26" s="3">
        <v>2</v>
      </c>
      <c r="H26" s="3">
        <v>2.4</v>
      </c>
      <c r="I26" s="33">
        <v>3.5294117647058823E-2</v>
      </c>
      <c r="K26"/>
      <c r="L26"/>
      <c r="M26"/>
      <c r="N26"/>
      <c r="P26"/>
      <c r="Q26"/>
      <c r="R26"/>
    </row>
    <row r="27" spans="1:18" x14ac:dyDescent="0.25">
      <c r="A27" s="22" t="s">
        <v>15</v>
      </c>
      <c r="B27" s="24">
        <v>50</v>
      </c>
      <c r="C27" s="24">
        <v>68</v>
      </c>
      <c r="D27" s="23">
        <v>1</v>
      </c>
      <c r="F27" s="34" t="s">
        <v>35</v>
      </c>
      <c r="G27" s="3">
        <v>2</v>
      </c>
      <c r="H27" s="3">
        <v>2.5</v>
      </c>
      <c r="I27" s="33">
        <v>3.6764705882352942E-2</v>
      </c>
      <c r="K27"/>
      <c r="L27"/>
      <c r="M27"/>
      <c r="N27"/>
      <c r="P27"/>
      <c r="Q27"/>
      <c r="R27"/>
    </row>
    <row r="28" spans="1:18" x14ac:dyDescent="0.25">
      <c r="A28"/>
      <c r="B28"/>
      <c r="C28"/>
      <c r="D28"/>
      <c r="F28" s="34" t="s">
        <v>34</v>
      </c>
      <c r="G28" s="3">
        <v>2</v>
      </c>
      <c r="H28" s="3">
        <v>2</v>
      </c>
      <c r="I28" s="33">
        <v>2.9411764705882353E-2</v>
      </c>
      <c r="K28"/>
      <c r="L28"/>
      <c r="M28"/>
      <c r="N28"/>
      <c r="P28"/>
      <c r="Q28"/>
      <c r="R28"/>
    </row>
    <row r="29" spans="1:18" x14ac:dyDescent="0.25">
      <c r="A29"/>
      <c r="B29"/>
      <c r="C29"/>
      <c r="D29"/>
      <c r="F29" s="34" t="s">
        <v>29</v>
      </c>
      <c r="G29" s="3">
        <v>1</v>
      </c>
      <c r="H29" s="3">
        <v>2.1</v>
      </c>
      <c r="I29" s="33">
        <v>3.0882352941176472E-2</v>
      </c>
      <c r="K29"/>
      <c r="L29"/>
      <c r="M29"/>
      <c r="N29"/>
      <c r="P29"/>
      <c r="Q29"/>
      <c r="R29"/>
    </row>
    <row r="30" spans="1:18" x14ac:dyDescent="0.25">
      <c r="A30"/>
      <c r="B30"/>
      <c r="C30"/>
      <c r="D30"/>
      <c r="F30" s="4" t="s">
        <v>53</v>
      </c>
      <c r="G30" s="2">
        <v>7</v>
      </c>
      <c r="H30" s="2">
        <v>9</v>
      </c>
      <c r="I30" s="11">
        <v>0.13235294117647059</v>
      </c>
      <c r="K30"/>
      <c r="L30"/>
      <c r="M30"/>
      <c r="N30"/>
      <c r="P30"/>
      <c r="Q30"/>
      <c r="R30"/>
    </row>
    <row r="31" spans="1:18" x14ac:dyDescent="0.25">
      <c r="F31" s="34" t="s">
        <v>31</v>
      </c>
      <c r="G31" s="3">
        <v>7</v>
      </c>
      <c r="H31" s="3">
        <v>9</v>
      </c>
      <c r="I31" s="33">
        <v>0.13235294117647059</v>
      </c>
      <c r="K31"/>
      <c r="L31"/>
      <c r="M31"/>
      <c r="N31"/>
      <c r="P31"/>
      <c r="Q31"/>
      <c r="R31"/>
    </row>
    <row r="32" spans="1:18" x14ac:dyDescent="0.25">
      <c r="F32" s="4" t="s">
        <v>15</v>
      </c>
      <c r="G32" s="2">
        <v>50</v>
      </c>
      <c r="H32" s="2">
        <v>68</v>
      </c>
      <c r="I32" s="11">
        <v>1</v>
      </c>
      <c r="K32"/>
      <c r="L32"/>
      <c r="M32"/>
      <c r="N32"/>
      <c r="P32"/>
      <c r="Q32"/>
      <c r="R32"/>
    </row>
    <row r="33" spans="1:18" x14ac:dyDescent="0.25">
      <c r="A33" s="10" t="s">
        <v>14</v>
      </c>
      <c r="B33" s="3" t="s">
        <v>48</v>
      </c>
      <c r="F33"/>
      <c r="G33"/>
      <c r="H33"/>
      <c r="I33"/>
      <c r="K33"/>
      <c r="L33"/>
      <c r="M33"/>
      <c r="N33"/>
      <c r="P33"/>
      <c r="Q33"/>
      <c r="R33"/>
    </row>
    <row r="34" spans="1:18" x14ac:dyDescent="0.25">
      <c r="A34" s="57" t="s">
        <v>20</v>
      </c>
      <c r="B34" s="57"/>
      <c r="C34" s="57"/>
      <c r="D34" s="57"/>
      <c r="F34"/>
      <c r="G34"/>
      <c r="H34"/>
      <c r="I34"/>
      <c r="K34"/>
      <c r="L34"/>
      <c r="M34"/>
      <c r="N34"/>
      <c r="P34"/>
      <c r="Q34"/>
      <c r="R34"/>
    </row>
    <row r="35" spans="1:18" x14ac:dyDescent="0.25">
      <c r="A35" s="6" t="s">
        <v>20</v>
      </c>
      <c r="B35" s="2" t="s">
        <v>17</v>
      </c>
      <c r="C35" s="2" t="s">
        <v>18</v>
      </c>
      <c r="D35" s="2" t="s">
        <v>16</v>
      </c>
      <c r="F35"/>
      <c r="G35"/>
      <c r="H35"/>
      <c r="I35"/>
      <c r="K35"/>
      <c r="L35"/>
      <c r="M35"/>
      <c r="N35"/>
      <c r="P35"/>
      <c r="Q35"/>
      <c r="R35"/>
    </row>
    <row r="36" spans="1:18" x14ac:dyDescent="0.25">
      <c r="A36" s="35" t="s">
        <v>67</v>
      </c>
      <c r="B36" s="3">
        <v>16</v>
      </c>
      <c r="C36" s="3">
        <v>20.100000000000001</v>
      </c>
      <c r="D36" s="33">
        <v>0.29558823529411765</v>
      </c>
      <c r="F36"/>
      <c r="G36"/>
      <c r="H36"/>
      <c r="I36"/>
      <c r="K36"/>
      <c r="L36"/>
      <c r="M36"/>
      <c r="N36"/>
      <c r="P36"/>
      <c r="Q36"/>
      <c r="R36"/>
    </row>
    <row r="37" spans="1:18" x14ac:dyDescent="0.25">
      <c r="A37" s="35" t="s">
        <v>73</v>
      </c>
      <c r="B37" s="3">
        <v>14</v>
      </c>
      <c r="C37" s="3">
        <v>18.099999999999998</v>
      </c>
      <c r="D37" s="33">
        <v>0.26617647058823524</v>
      </c>
      <c r="F37"/>
      <c r="G37"/>
      <c r="H37"/>
      <c r="I37"/>
      <c r="K37"/>
      <c r="L37"/>
      <c r="M37"/>
      <c r="N37"/>
      <c r="P37"/>
      <c r="Q37"/>
      <c r="R37"/>
    </row>
    <row r="38" spans="1:18" x14ac:dyDescent="0.25">
      <c r="A38" s="35" t="s">
        <v>83</v>
      </c>
      <c r="B38" s="3">
        <v>10</v>
      </c>
      <c r="C38" s="3">
        <v>15.999999999999998</v>
      </c>
      <c r="D38" s="33">
        <v>0.23529411764705879</v>
      </c>
      <c r="F38"/>
      <c r="G38"/>
      <c r="H38"/>
      <c r="I38"/>
      <c r="K38"/>
      <c r="L38"/>
      <c r="M38"/>
      <c r="N38"/>
      <c r="P38"/>
      <c r="Q38"/>
      <c r="R38"/>
    </row>
    <row r="39" spans="1:18" x14ac:dyDescent="0.25">
      <c r="A39" s="35" t="s">
        <v>89</v>
      </c>
      <c r="B39" s="3">
        <v>10</v>
      </c>
      <c r="C39" s="3">
        <v>13.8</v>
      </c>
      <c r="D39" s="33">
        <v>0.20294117647058824</v>
      </c>
      <c r="F39"/>
      <c r="G39"/>
      <c r="H39"/>
      <c r="I39"/>
      <c r="K39"/>
      <c r="L39"/>
      <c r="M39"/>
      <c r="N39"/>
      <c r="P39"/>
      <c r="Q39"/>
      <c r="R39"/>
    </row>
    <row r="40" spans="1:18" x14ac:dyDescent="0.25">
      <c r="A40" s="4" t="s">
        <v>15</v>
      </c>
      <c r="B40" s="2">
        <v>50</v>
      </c>
      <c r="C40" s="2">
        <v>68</v>
      </c>
      <c r="D40" s="11">
        <v>1</v>
      </c>
      <c r="F40"/>
      <c r="G40"/>
      <c r="H40"/>
      <c r="I40"/>
      <c r="K40"/>
      <c r="L40"/>
      <c r="M40"/>
      <c r="N40"/>
      <c r="P40"/>
      <c r="Q40"/>
      <c r="R40"/>
    </row>
    <row r="41" spans="1:18" x14ac:dyDescent="0.25">
      <c r="A41"/>
      <c r="B41"/>
      <c r="C41"/>
      <c r="D41"/>
      <c r="F41"/>
      <c r="G41"/>
      <c r="H41"/>
      <c r="I41"/>
      <c r="K41"/>
      <c r="L41"/>
      <c r="M41"/>
      <c r="N41"/>
      <c r="P41"/>
      <c r="Q41"/>
      <c r="R41"/>
    </row>
    <row r="42" spans="1:18" x14ac:dyDescent="0.25">
      <c r="A42"/>
      <c r="B42"/>
      <c r="C42"/>
      <c r="D42"/>
      <c r="F42"/>
      <c r="G42"/>
      <c r="H42"/>
      <c r="I42"/>
      <c r="K42"/>
      <c r="L42"/>
      <c r="M42"/>
      <c r="N42"/>
      <c r="P42"/>
      <c r="Q42"/>
      <c r="R42"/>
    </row>
    <row r="43" spans="1:18" x14ac:dyDescent="0.25">
      <c r="A43"/>
      <c r="B43"/>
      <c r="C43"/>
      <c r="D43"/>
      <c r="F43"/>
      <c r="G43"/>
      <c r="H43"/>
      <c r="I43"/>
      <c r="K43"/>
      <c r="L43"/>
      <c r="M43"/>
      <c r="N43"/>
      <c r="P43"/>
      <c r="Q43"/>
      <c r="R43"/>
    </row>
    <row r="44" spans="1:18" x14ac:dyDescent="0.25">
      <c r="A44"/>
      <c r="B44"/>
      <c r="C44"/>
      <c r="D44"/>
      <c r="F44"/>
      <c r="G44"/>
      <c r="H44"/>
      <c r="I44"/>
      <c r="K44"/>
      <c r="L44"/>
      <c r="M44"/>
      <c r="N44"/>
      <c r="P44"/>
      <c r="Q44"/>
      <c r="R44"/>
    </row>
    <row r="45" spans="1:18" x14ac:dyDescent="0.25">
      <c r="F45"/>
      <c r="G45"/>
      <c r="H45"/>
      <c r="I45"/>
      <c r="K45"/>
      <c r="L45"/>
      <c r="M45"/>
      <c r="N45"/>
      <c r="P45"/>
      <c r="Q45"/>
      <c r="R45"/>
    </row>
    <row r="46" spans="1:18" x14ac:dyDescent="0.25">
      <c r="F46"/>
      <c r="G46"/>
      <c r="H46"/>
      <c r="I46"/>
      <c r="K46"/>
      <c r="L46"/>
      <c r="M46"/>
      <c r="N46"/>
      <c r="P46"/>
      <c r="Q46"/>
      <c r="R46"/>
    </row>
    <row r="47" spans="1:18" x14ac:dyDescent="0.25">
      <c r="F47"/>
      <c r="G47"/>
      <c r="H47"/>
      <c r="I47"/>
      <c r="K47"/>
      <c r="L47"/>
      <c r="M47"/>
      <c r="N47"/>
      <c r="P47"/>
      <c r="Q47"/>
      <c r="R47"/>
    </row>
    <row r="48" spans="1:18" x14ac:dyDescent="0.25">
      <c r="F48"/>
      <c r="G48"/>
      <c r="H48"/>
      <c r="I48"/>
      <c r="K48"/>
      <c r="L48"/>
      <c r="M48"/>
      <c r="N48"/>
      <c r="P48"/>
      <c r="Q48"/>
      <c r="R48"/>
    </row>
    <row r="49" spans="6:18" x14ac:dyDescent="0.25">
      <c r="F49"/>
      <c r="G49"/>
      <c r="H49"/>
      <c r="I49"/>
      <c r="K49"/>
      <c r="L49"/>
      <c r="M49"/>
      <c r="N49"/>
    </row>
    <row r="50" spans="6:18" x14ac:dyDescent="0.25">
      <c r="F50"/>
      <c r="G50"/>
      <c r="H50"/>
      <c r="I50"/>
      <c r="K50"/>
      <c r="L50"/>
      <c r="M50"/>
      <c r="N50"/>
    </row>
    <row r="51" spans="6:18" x14ac:dyDescent="0.25">
      <c r="F51"/>
      <c r="G51"/>
      <c r="H51"/>
      <c r="I51"/>
      <c r="K51"/>
      <c r="L51"/>
      <c r="M51"/>
      <c r="N51"/>
    </row>
    <row r="52" spans="6:18" x14ac:dyDescent="0.25">
      <c r="F52"/>
      <c r="G52"/>
      <c r="H52"/>
      <c r="I52"/>
      <c r="K52"/>
      <c r="L52"/>
      <c r="M52"/>
      <c r="N52"/>
    </row>
    <row r="53" spans="6:18" x14ac:dyDescent="0.25">
      <c r="F53"/>
      <c r="G53"/>
      <c r="H53"/>
      <c r="I53"/>
      <c r="K53"/>
      <c r="L53"/>
      <c r="M53"/>
      <c r="N53"/>
      <c r="P53" s="5"/>
      <c r="R53" s="7"/>
    </row>
    <row r="54" spans="6:18" x14ac:dyDescent="0.25">
      <c r="F54"/>
      <c r="G54"/>
      <c r="H54"/>
      <c r="I54"/>
      <c r="K54"/>
      <c r="L54"/>
      <c r="M54"/>
      <c r="N54"/>
    </row>
    <row r="55" spans="6:18" x14ac:dyDescent="0.25">
      <c r="F55"/>
      <c r="G55"/>
      <c r="H55"/>
      <c r="I55"/>
      <c r="K55"/>
      <c r="L55"/>
      <c r="M55"/>
      <c r="N55"/>
    </row>
    <row r="56" spans="6:18" x14ac:dyDescent="0.25">
      <c r="F56"/>
      <c r="G56"/>
      <c r="H56"/>
      <c r="I56"/>
      <c r="K56"/>
      <c r="L56"/>
      <c r="M56"/>
      <c r="N56"/>
    </row>
    <row r="57" spans="6:18" x14ac:dyDescent="0.25">
      <c r="F57"/>
      <c r="G57"/>
      <c r="H57"/>
      <c r="I57"/>
      <c r="K57"/>
      <c r="L57"/>
      <c r="M57"/>
      <c r="N57"/>
      <c r="O57"/>
      <c r="P57"/>
    </row>
    <row r="58" spans="6:18" x14ac:dyDescent="0.25">
      <c r="F58"/>
      <c r="G58"/>
      <c r="H58"/>
      <c r="I58"/>
      <c r="K58"/>
      <c r="L58"/>
      <c r="M58"/>
      <c r="N58"/>
      <c r="O58"/>
      <c r="P58"/>
    </row>
    <row r="59" spans="6:18" x14ac:dyDescent="0.25">
      <c r="F59"/>
      <c r="G59"/>
      <c r="H59"/>
      <c r="I59"/>
      <c r="K59"/>
      <c r="L59"/>
      <c r="M59"/>
      <c r="N59"/>
    </row>
    <row r="60" spans="6:18" x14ac:dyDescent="0.25">
      <c r="F60"/>
      <c r="G60"/>
      <c r="H60"/>
      <c r="I60"/>
      <c r="K60"/>
      <c r="L60"/>
      <c r="M60"/>
      <c r="N60"/>
    </row>
    <row r="61" spans="6:18" x14ac:dyDescent="0.25">
      <c r="F61"/>
      <c r="G61"/>
      <c r="H61"/>
      <c r="I61"/>
      <c r="K61"/>
      <c r="L61"/>
      <c r="M61"/>
      <c r="N61"/>
    </row>
    <row r="62" spans="6:18" x14ac:dyDescent="0.25">
      <c r="F62"/>
      <c r="G62"/>
      <c r="H62"/>
      <c r="I62"/>
      <c r="K62"/>
      <c r="L62"/>
      <c r="M62"/>
      <c r="N62"/>
    </row>
    <row r="63" spans="6:18" x14ac:dyDescent="0.25">
      <c r="F63"/>
      <c r="G63"/>
      <c r="H63"/>
      <c r="I63"/>
      <c r="K63"/>
      <c r="L63"/>
      <c r="M63"/>
      <c r="N63"/>
    </row>
    <row r="64" spans="6:18" x14ac:dyDescent="0.25">
      <c r="F64"/>
      <c r="G64"/>
      <c r="H64"/>
      <c r="I64"/>
      <c r="K64"/>
      <c r="L64"/>
      <c r="M64"/>
      <c r="N64"/>
    </row>
    <row r="65" spans="6:14" x14ac:dyDescent="0.25">
      <c r="F65"/>
      <c r="G65"/>
      <c r="H65"/>
      <c r="I65"/>
      <c r="K65"/>
      <c r="L65"/>
      <c r="M65"/>
      <c r="N65"/>
    </row>
    <row r="66" spans="6:14" x14ac:dyDescent="0.25">
      <c r="F66"/>
      <c r="G66"/>
      <c r="H66"/>
      <c r="I66"/>
      <c r="K66"/>
      <c r="L66"/>
      <c r="M66"/>
      <c r="N66"/>
    </row>
    <row r="67" spans="6:14" x14ac:dyDescent="0.25">
      <c r="F67"/>
      <c r="G67"/>
      <c r="H67"/>
      <c r="I67"/>
      <c r="K67"/>
      <c r="L67"/>
      <c r="M67"/>
      <c r="N67"/>
    </row>
    <row r="68" spans="6:14" x14ac:dyDescent="0.25">
      <c r="F68"/>
      <c r="G68"/>
      <c r="H68"/>
      <c r="I68"/>
      <c r="K68"/>
      <c r="L68"/>
      <c r="M68"/>
      <c r="N68"/>
    </row>
    <row r="69" spans="6:14" x14ac:dyDescent="0.25">
      <c r="F69"/>
      <c r="G69"/>
      <c r="H69"/>
      <c r="I69"/>
      <c r="K69"/>
      <c r="L69"/>
      <c r="M69"/>
      <c r="N69"/>
    </row>
    <row r="70" spans="6:14" x14ac:dyDescent="0.25">
      <c r="F70"/>
      <c r="G70"/>
      <c r="H70"/>
      <c r="I70"/>
      <c r="K70"/>
      <c r="L70"/>
      <c r="M70"/>
      <c r="N70"/>
    </row>
    <row r="71" spans="6:14" x14ac:dyDescent="0.25">
      <c r="F71"/>
      <c r="G71"/>
      <c r="H71"/>
      <c r="I71"/>
      <c r="K71"/>
      <c r="L71"/>
      <c r="M71"/>
      <c r="N71"/>
    </row>
    <row r="72" spans="6:14" x14ac:dyDescent="0.25">
      <c r="F72"/>
      <c r="G72"/>
      <c r="H72"/>
      <c r="I72"/>
      <c r="K72"/>
      <c r="L72"/>
      <c r="M72"/>
      <c r="N72"/>
    </row>
    <row r="73" spans="6:14" x14ac:dyDescent="0.25">
      <c r="F73"/>
      <c r="G73"/>
      <c r="H73"/>
      <c r="I73"/>
      <c r="K73"/>
      <c r="L73"/>
      <c r="M73"/>
      <c r="N73"/>
    </row>
    <row r="74" spans="6:14" x14ac:dyDescent="0.25">
      <c r="F74"/>
      <c r="G74"/>
      <c r="H74"/>
      <c r="I74"/>
      <c r="K74"/>
      <c r="L74"/>
      <c r="M74"/>
      <c r="N74"/>
    </row>
    <row r="75" spans="6:14" x14ac:dyDescent="0.25">
      <c r="F75"/>
      <c r="G75"/>
      <c r="H75"/>
      <c r="I75"/>
      <c r="K75"/>
      <c r="L75"/>
      <c r="M75"/>
      <c r="N75"/>
    </row>
    <row r="76" spans="6:14" x14ac:dyDescent="0.25">
      <c r="F76"/>
      <c r="G76"/>
      <c r="H76"/>
      <c r="I76"/>
      <c r="K76"/>
      <c r="L76"/>
      <c r="M76"/>
      <c r="N76"/>
    </row>
    <row r="77" spans="6:14" x14ac:dyDescent="0.25">
      <c r="F77"/>
      <c r="G77"/>
      <c r="H77"/>
      <c r="I77"/>
      <c r="K77"/>
      <c r="L77"/>
      <c r="M77"/>
      <c r="N77"/>
    </row>
    <row r="78" spans="6:14" x14ac:dyDescent="0.25">
      <c r="F78"/>
      <c r="G78"/>
      <c r="H78"/>
      <c r="I78"/>
    </row>
    <row r="79" spans="6:14" x14ac:dyDescent="0.25">
      <c r="F79"/>
      <c r="G79"/>
      <c r="H79"/>
      <c r="I79"/>
    </row>
    <row r="80" spans="6:14" x14ac:dyDescent="0.25">
      <c r="F80"/>
      <c r="G80"/>
      <c r="H80"/>
      <c r="I80"/>
    </row>
    <row r="81" spans="2:18" x14ac:dyDescent="0.25">
      <c r="F81"/>
      <c r="G81"/>
      <c r="H81"/>
      <c r="I81"/>
    </row>
    <row r="82" spans="2:18" x14ac:dyDescent="0.25">
      <c r="F82"/>
      <c r="G82"/>
      <c r="H82"/>
      <c r="I82"/>
    </row>
    <row r="83" spans="2:18" x14ac:dyDescent="0.25">
      <c r="B83" s="7"/>
      <c r="C83" s="7"/>
      <c r="D83" s="7"/>
      <c r="E83" s="5"/>
      <c r="F83"/>
      <c r="G83"/>
      <c r="H83"/>
      <c r="I83"/>
      <c r="J83" s="5"/>
      <c r="K83" s="5"/>
      <c r="L83" s="7"/>
      <c r="M83" s="7"/>
      <c r="N83" s="7"/>
      <c r="Q83" s="7"/>
      <c r="R83" s="7"/>
    </row>
    <row r="84" spans="2:18" x14ac:dyDescent="0.25">
      <c r="B84" s="7"/>
      <c r="C84" s="7"/>
      <c r="D84" s="7"/>
      <c r="E84" s="5"/>
      <c r="F84"/>
      <c r="G84"/>
      <c r="H84"/>
      <c r="I84"/>
      <c r="J84" s="5"/>
      <c r="K84" s="5"/>
      <c r="L84" s="7"/>
      <c r="M84" s="7"/>
      <c r="N84" s="7"/>
      <c r="Q84" s="7"/>
      <c r="R84" s="7"/>
    </row>
    <row r="85" spans="2:18" x14ac:dyDescent="0.25">
      <c r="B85" s="7"/>
      <c r="C85" s="7"/>
      <c r="D85" s="7"/>
      <c r="E85" s="5"/>
      <c r="F85"/>
      <c r="G85"/>
      <c r="H85"/>
      <c r="I85"/>
      <c r="J85" s="5"/>
      <c r="K85" s="5"/>
      <c r="L85" s="7"/>
      <c r="M85" s="7"/>
      <c r="N85" s="7"/>
      <c r="Q85" s="7"/>
      <c r="R85" s="7"/>
    </row>
    <row r="86" spans="2:18" x14ac:dyDescent="0.25">
      <c r="B86" s="7"/>
      <c r="C86" s="7"/>
      <c r="D86" s="7"/>
      <c r="E86" s="5"/>
      <c r="F86"/>
      <c r="G86"/>
      <c r="H86"/>
      <c r="I86"/>
      <c r="J86" s="5"/>
      <c r="K86" s="5"/>
      <c r="L86" s="7"/>
      <c r="M86" s="7"/>
      <c r="N86" s="7"/>
      <c r="Q86" s="7"/>
      <c r="R86" s="7"/>
    </row>
    <row r="87" spans="2:18" x14ac:dyDescent="0.25">
      <c r="B87" s="7"/>
      <c r="C87" s="7"/>
      <c r="D87" s="7"/>
      <c r="E87" s="5"/>
      <c r="F87"/>
      <c r="G87"/>
      <c r="H87"/>
      <c r="I87"/>
      <c r="J87" s="5"/>
      <c r="K87" s="5"/>
      <c r="L87" s="7"/>
      <c r="M87" s="7"/>
      <c r="N87" s="7"/>
      <c r="Q87" s="7"/>
      <c r="R87" s="7"/>
    </row>
    <row r="88" spans="2:18" x14ac:dyDescent="0.25">
      <c r="B88" s="7"/>
      <c r="C88" s="7"/>
      <c r="D88" s="7"/>
      <c r="E88" s="5"/>
      <c r="F88"/>
      <c r="G88"/>
      <c r="H88"/>
      <c r="I88"/>
      <c r="J88" s="5"/>
      <c r="K88" s="5"/>
      <c r="L88" s="7"/>
      <c r="M88" s="7"/>
      <c r="N88" s="7"/>
      <c r="Q88" s="7"/>
      <c r="R88" s="7"/>
    </row>
    <row r="89" spans="2:18" x14ac:dyDescent="0.25">
      <c r="B89" s="7"/>
      <c r="C89" s="7"/>
      <c r="D89" s="7"/>
      <c r="E89" s="5"/>
      <c r="F89"/>
      <c r="G89"/>
      <c r="H89"/>
      <c r="I89"/>
      <c r="J89" s="5"/>
      <c r="K89" s="5"/>
      <c r="L89" s="7"/>
      <c r="M89" s="7"/>
      <c r="N89" s="7"/>
      <c r="Q89" s="7"/>
      <c r="R89" s="7"/>
    </row>
    <row r="90" spans="2:18" x14ac:dyDescent="0.25">
      <c r="B90" s="7"/>
      <c r="C90" s="7"/>
      <c r="D90" s="7"/>
      <c r="E90" s="5"/>
      <c r="F90"/>
      <c r="G90"/>
      <c r="H90"/>
      <c r="I90"/>
      <c r="J90" s="5"/>
      <c r="K90" s="5"/>
      <c r="L90" s="7"/>
      <c r="M90" s="7"/>
      <c r="N90" s="7"/>
      <c r="Q90" s="7"/>
      <c r="R90" s="7"/>
    </row>
    <row r="91" spans="2:18" x14ac:dyDescent="0.25">
      <c r="B91" s="7"/>
      <c r="C91" s="7"/>
      <c r="D91" s="7"/>
      <c r="E91" s="5"/>
      <c r="F91"/>
      <c r="G91"/>
      <c r="H91"/>
      <c r="I91"/>
      <c r="J91" s="5"/>
      <c r="K91" s="5"/>
      <c r="L91" s="7"/>
      <c r="M91" s="7"/>
      <c r="N91" s="7"/>
      <c r="Q91" s="7"/>
      <c r="R91" s="7"/>
    </row>
    <row r="92" spans="2:18" x14ac:dyDescent="0.25">
      <c r="B92" s="7"/>
      <c r="C92" s="7"/>
      <c r="D92" s="7"/>
      <c r="E92" s="5"/>
      <c r="F92"/>
      <c r="G92"/>
      <c r="H92"/>
      <c r="I92"/>
      <c r="J92" s="5"/>
      <c r="K92" s="5"/>
      <c r="L92" s="7"/>
      <c r="M92" s="7"/>
      <c r="N92" s="7"/>
      <c r="Q92" s="7"/>
      <c r="R92" s="7"/>
    </row>
    <row r="93" spans="2:18" x14ac:dyDescent="0.25">
      <c r="C93" s="7"/>
      <c r="D93" s="7"/>
      <c r="F93"/>
      <c r="G93"/>
      <c r="H93"/>
      <c r="I93"/>
      <c r="J93" s="5"/>
      <c r="K93" s="5"/>
      <c r="M93" s="7"/>
      <c r="N93" s="7"/>
      <c r="O93" s="5"/>
      <c r="P93" s="5"/>
      <c r="Q93" s="7"/>
      <c r="R93" s="7"/>
    </row>
    <row r="94" spans="2:18" x14ac:dyDescent="0.25">
      <c r="F94"/>
      <c r="G94"/>
      <c r="H94"/>
      <c r="I94"/>
    </row>
    <row r="95" spans="2:18" x14ac:dyDescent="0.25">
      <c r="F95"/>
      <c r="G95"/>
      <c r="H95"/>
      <c r="I95"/>
    </row>
    <row r="96" spans="2:18" x14ac:dyDescent="0.25">
      <c r="F96"/>
      <c r="G96"/>
      <c r="H96"/>
      <c r="I96"/>
    </row>
    <row r="97" spans="6:9" x14ac:dyDescent="0.25">
      <c r="F97"/>
      <c r="G97"/>
      <c r="H97"/>
      <c r="I97"/>
    </row>
    <row r="98" spans="6:9" x14ac:dyDescent="0.25">
      <c r="F98"/>
      <c r="G98"/>
      <c r="H98"/>
      <c r="I98"/>
    </row>
    <row r="99" spans="6:9" x14ac:dyDescent="0.25">
      <c r="F99"/>
      <c r="G99"/>
      <c r="H99"/>
      <c r="I99"/>
    </row>
    <row r="100" spans="6:9" x14ac:dyDescent="0.25">
      <c r="F100"/>
      <c r="G100"/>
      <c r="H100"/>
      <c r="I100"/>
    </row>
    <row r="101" spans="6:9" x14ac:dyDescent="0.25">
      <c r="F101"/>
      <c r="G101"/>
      <c r="H101"/>
      <c r="I101"/>
    </row>
    <row r="102" spans="6:9" x14ac:dyDescent="0.25">
      <c r="F102"/>
      <c r="G102"/>
      <c r="H102"/>
      <c r="I102"/>
    </row>
    <row r="103" spans="6:9" x14ac:dyDescent="0.25">
      <c r="F103"/>
      <c r="G103"/>
      <c r="H103"/>
      <c r="I103"/>
    </row>
    <row r="104" spans="6:9" x14ac:dyDescent="0.25">
      <c r="F104"/>
      <c r="G104"/>
      <c r="H104"/>
      <c r="I104"/>
    </row>
    <row r="105" spans="6:9" x14ac:dyDescent="0.25">
      <c r="F105"/>
      <c r="G105"/>
      <c r="H105"/>
      <c r="I105"/>
    </row>
    <row r="106" spans="6:9" x14ac:dyDescent="0.25">
      <c r="F106"/>
      <c r="G106"/>
      <c r="H106"/>
      <c r="I106"/>
    </row>
    <row r="107" spans="6:9" x14ac:dyDescent="0.25">
      <c r="F107"/>
      <c r="G107"/>
      <c r="H107"/>
      <c r="I107"/>
    </row>
  </sheetData>
  <dataConsolidate topLabels="1">
    <dataRefs count="3">
      <dataRef ref="K70:L75" sheet="CAD DESIGNER REPORT"/>
      <dataRef ref="A85:B90" sheet="CAD DESIGNER REPORT"/>
      <dataRef ref="C85:D90" sheet="CAD DESIGNER REPORT"/>
    </dataRefs>
  </dataConsolidate>
  <mergeCells count="7">
    <mergeCell ref="A1:O1"/>
    <mergeCell ref="P3:R3"/>
    <mergeCell ref="A34:D34"/>
    <mergeCell ref="A3:D3"/>
    <mergeCell ref="A21:D21"/>
    <mergeCell ref="F3:I3"/>
    <mergeCell ref="K3:N3"/>
  </mergeCells>
  <conditionalFormatting pivot="1" sqref="D5:D1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{9EF1ABB5-BDF9-4DDA-A2C8-A3A7627D4982}</x14:id>
        </ext>
      </extLst>
    </cfRule>
  </conditionalFormatting>
  <conditionalFormatting pivot="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{6E9C1008-C17B-4C9B-A9E7-3B2650773CD1}</x14:id>
        </ext>
      </extLst>
    </cfRule>
  </conditionalFormatting>
  <conditionalFormatting pivot="1" sqref="D23:D2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{D517665D-BBE0-4997-A448-E080159409CC}</x14:id>
        </ext>
      </extLst>
    </cfRule>
  </conditionalFormatting>
  <conditionalFormatting pivot="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{45B013F9-C913-47D5-8478-A75DFC646272}</x14:id>
        </ext>
      </extLst>
    </cfRule>
  </conditionalFormatting>
  <conditionalFormatting pivot="1" sqref="N5:N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{E1D25F51-CEC5-46D5-95B7-0F4425219998}</x14:id>
        </ext>
      </extLst>
    </cfRule>
  </conditionalFormatting>
  <conditionalFormatting pivot="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{F7C231CF-3883-419D-97E1-049F4228177B}</x14:id>
        </ext>
      </extLst>
    </cfRule>
  </conditionalFormatting>
  <conditionalFormatting pivot="1" sqref="R5:R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{66D40272-E30D-4A8B-860D-E7BD2D3C8E26}</x14:id>
        </ext>
      </extLst>
    </cfRule>
  </conditionalFormatting>
  <conditionalFormatting pivot="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{92FCFA8B-7DB6-47CD-8317-4A714D7DD658}</x14:id>
        </ext>
      </extLst>
    </cfRule>
  </conditionalFormatting>
  <conditionalFormatting pivot="1" sqref="D36:D4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{0CD1731C-2BC4-411F-BE6A-B0ED3CB0DF26}</x14:id>
        </ext>
      </extLst>
    </cfRule>
  </conditionalFormatting>
  <conditionalFormatting sqref="X5:X12">
    <cfRule type="dataBar" priority="7">
      <dataBar>
        <cfvo type="num" val="0"/>
        <cfvo type="num" val="$W$5"/>
        <color rgb="FF638EC6"/>
      </dataBar>
      <extLst>
        <ext xmlns:x14="http://schemas.microsoft.com/office/spreadsheetml/2009/9/main" uri="{B025F937-C7B1-47D3-B67F-A62EFF666E3E}">
          <x14:id>{FA9A7215-D894-4BF3-BA4F-F41C03188950}</x14:id>
        </ext>
      </extLst>
    </cfRule>
  </conditionalFormatting>
  <conditionalFormatting sqref="X5:X12">
    <cfRule type="dataBar" priority="5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{8746EFD0-4464-46A8-B070-F580EBA326AC}</x14:id>
        </ext>
      </extLst>
    </cfRule>
    <cfRule type="dataBar" priority="6">
      <dataBar>
        <cfvo type="percentile" val="0"/>
        <cfvo type="percentile" val="100"/>
        <color theme="4" tint="-0.249977111117893"/>
      </dataBar>
      <extLst>
        <ext xmlns:x14="http://schemas.microsoft.com/office/spreadsheetml/2009/9/main" uri="{B025F937-C7B1-47D3-B67F-A62EFF666E3E}">
          <x14:id>{AE7ACFA6-1C37-47E3-B77C-AA56CBC3D081}</x14:id>
        </ext>
      </extLst>
    </cfRule>
  </conditionalFormatting>
  <conditionalFormatting sqref="X13">
    <cfRule type="dataBar" priority="1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{72C61FD8-EBF4-4F4C-8206-BAFA64DC9D44}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{A8B94E3D-97C3-4292-8907-E96C11085F00}</x14:id>
        </ext>
      </extLst>
    </cfRule>
  </conditionalFormatting>
  <pageMargins left="0.7" right="0.7" top="0.75" bottom="0.75" header="0.3" footer="0.3"/>
  <pageSetup orientation="portrait" r:id="rId7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EF1ABB5-BDF9-4DDA-A2C8-A3A7627D4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D5:D13</xm:sqref>
        </x14:conditionalFormatting>
        <x14:conditionalFormatting xmlns:xm="http://schemas.microsoft.com/office/excel/2006/main" pivot="1">
          <x14:cfRule type="dataBar" id="{6E9C1008-C17B-4C9B-A9E7-3B2650773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D517665D-BBE0-4997-A448-E08015940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D23:D27</xm:sqref>
        </x14:conditionalFormatting>
        <x14:conditionalFormatting xmlns:xm="http://schemas.microsoft.com/office/excel/2006/main" pivot="1">
          <x14:cfRule type="dataBar" id="{45B013F9-C913-47D5-8478-A75DFC646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E1D25F51-CEC5-46D5-95B7-0F4425219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N5:N25</xm:sqref>
        </x14:conditionalFormatting>
        <x14:conditionalFormatting xmlns:xm="http://schemas.microsoft.com/office/excel/2006/main" pivot="1">
          <x14:cfRule type="dataBar" id="{F7C231CF-3883-419D-97E1-049F42281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66D40272-E30D-4A8B-860D-E7BD2D3C8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R5:R12</xm:sqref>
        </x14:conditionalFormatting>
        <x14:conditionalFormatting xmlns:xm="http://schemas.microsoft.com/office/excel/2006/main" pivot="1">
          <x14:cfRule type="dataBar" id="{92FCFA8B-7DB6-47CD-8317-4A714D7DD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</x14:conditionalFormatting>
        <x14:conditionalFormatting xmlns:xm="http://schemas.microsoft.com/office/excel/2006/main" pivot="1">
          <x14:cfRule type="dataBar" id="{0CD1731C-2BC4-411F-BE6A-B0ED3CB0D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D36:D40</xm:sqref>
        </x14:conditionalFormatting>
        <x14:conditionalFormatting xmlns:xm="http://schemas.microsoft.com/office/excel/2006/main">
          <x14:cfRule type="dataBar" id="{FA9A7215-D894-4BF3-BA4F-F41C03188950}">
            <x14:dataBar minLength="0" maxLength="100">
              <x14:cfvo type="num">
                <xm:f>0</xm:f>
              </x14:cfvo>
              <x14:cfvo type="num">
                <xm:f>$W$5</xm:f>
              </x14:cfvo>
              <x14:negativeFillColor rgb="FFFF0000"/>
              <x14:axisColor rgb="FF000000"/>
            </x14:dataBar>
          </x14:cfRule>
          <xm:sqref>X5:X12</xm:sqref>
        </x14:conditionalFormatting>
        <x14:conditionalFormatting xmlns:xm="http://schemas.microsoft.com/office/excel/2006/main">
          <x14:cfRule type="dataBar" id="{8746EFD0-4464-46A8-B070-F580EBA326A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AE7ACFA6-1C37-47E3-B77C-AA56CBC3D081}">
            <x14:dataBar minLength="0" maxLength="100" border="1">
              <x14:cfvo type="percentile">
                <xm:f>0</xm:f>
              </x14:cfvo>
              <x14:cfvo type="percentile">
                <xm:f>100</xm:f>
              </x14:cfvo>
              <x14:borderColor rgb="FF000000"/>
              <x14:negativeFillColor rgb="FFFF0000"/>
              <x14:axisColor rgb="FF000000"/>
            </x14:dataBar>
          </x14:cfRule>
          <xm:sqref>X5:X12</xm:sqref>
        </x14:conditionalFormatting>
        <x14:conditionalFormatting xmlns:xm="http://schemas.microsoft.com/office/excel/2006/main">
          <x14:cfRule type="dataBar" id="{72C61FD8-EBF4-4F4C-8206-BAFA64DC9D44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A8B94E3D-97C3-4292-8907-E96C11085F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499984740745262"/>
  </sheetPr>
  <dimension ref="A1:V32"/>
  <sheetViews>
    <sheetView tabSelected="1" zoomScale="70" zoomScaleNormal="70" zoomScaleSheetLayoutView="70" workbookViewId="0">
      <selection activeCell="P28" sqref="P28:P32"/>
    </sheetView>
  </sheetViews>
  <sheetFormatPr defaultRowHeight="15" x14ac:dyDescent="0.25"/>
  <cols>
    <col min="1" max="1" width="13.5703125" style="1" bestFit="1" customWidth="1"/>
    <col min="2" max="2" width="20.140625" style="1" bestFit="1" customWidth="1"/>
    <col min="3" max="3" width="26" style="1" bestFit="1" customWidth="1"/>
    <col min="4" max="4" width="24.42578125" style="1" bestFit="1" customWidth="1"/>
    <col min="5" max="5" width="24.5703125" style="1" bestFit="1" customWidth="1"/>
    <col min="6" max="6" width="26.7109375" style="1" bestFit="1" customWidth="1"/>
    <col min="7" max="7" width="16.42578125" style="1" bestFit="1" customWidth="1"/>
    <col min="8" max="8" width="17.28515625" style="1" bestFit="1" customWidth="1"/>
    <col min="9" max="9" width="12.85546875" style="1" customWidth="1"/>
    <col min="10" max="10" width="15.42578125" style="1" bestFit="1" customWidth="1"/>
    <col min="11" max="11" width="18.85546875" style="1" bestFit="1" customWidth="1"/>
    <col min="12" max="12" width="14.42578125" style="1" bestFit="1" customWidth="1"/>
    <col min="13" max="13" width="15.85546875" style="1" bestFit="1" customWidth="1"/>
    <col min="14" max="14" width="15.7109375" style="1" bestFit="1" customWidth="1"/>
    <col min="15" max="15" width="22" style="1" bestFit="1" customWidth="1"/>
    <col min="16" max="16" width="22.5703125" style="1" bestFit="1" customWidth="1"/>
    <col min="17" max="17" width="16.42578125" style="1" customWidth="1"/>
    <col min="18" max="18" width="26" bestFit="1" customWidth="1"/>
    <col min="19" max="19" width="20.28515625" style="1" bestFit="1" customWidth="1"/>
    <col min="20" max="20" width="35.5703125" style="1" customWidth="1"/>
    <col min="21" max="21" width="17.28515625" customWidth="1"/>
    <col min="22" max="22" width="24" customWidth="1"/>
    <col min="23" max="23" width="11" customWidth="1"/>
  </cols>
  <sheetData>
    <row r="1" spans="1:22" ht="15.75" x14ac:dyDescent="0.25">
      <c r="A1" s="65" t="s">
        <v>45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39"/>
    </row>
    <row r="2" spans="1:22" x14ac:dyDescent="0.25">
      <c r="A2" s="44" t="s">
        <v>0</v>
      </c>
      <c r="B2" s="44" t="s">
        <v>1</v>
      </c>
      <c r="C2" s="44" t="s">
        <v>2</v>
      </c>
      <c r="D2" s="49" t="s">
        <v>3</v>
      </c>
      <c r="E2" s="44" t="s">
        <v>4</v>
      </c>
      <c r="F2" s="44" t="s">
        <v>5</v>
      </c>
      <c r="G2" s="44" t="s">
        <v>6</v>
      </c>
      <c r="H2" s="44" t="s">
        <v>7</v>
      </c>
      <c r="I2" s="44" t="s">
        <v>8</v>
      </c>
      <c r="J2" s="44" t="s">
        <v>9</v>
      </c>
      <c r="K2" s="44" t="s">
        <v>10</v>
      </c>
      <c r="L2" s="44" t="s">
        <v>11</v>
      </c>
      <c r="M2" s="44" t="s">
        <v>12</v>
      </c>
      <c r="N2" s="44" t="s">
        <v>13</v>
      </c>
      <c r="O2" s="44" t="s">
        <v>42</v>
      </c>
      <c r="P2" s="44" t="s">
        <v>14</v>
      </c>
      <c r="Q2" s="40"/>
      <c r="R2" s="30" t="s">
        <v>43</v>
      </c>
      <c r="S2" s="30" t="s">
        <v>24</v>
      </c>
    </row>
    <row r="3" spans="1:22" x14ac:dyDescent="0.25">
      <c r="A3" s="8">
        <v>1</v>
      </c>
      <c r="B3" s="30" t="s">
        <v>28</v>
      </c>
      <c r="C3" s="30" t="s">
        <v>64</v>
      </c>
      <c r="D3" s="30" t="s">
        <v>51</v>
      </c>
      <c r="E3" s="30" t="s">
        <v>65</v>
      </c>
      <c r="F3" s="30" t="s">
        <v>66</v>
      </c>
      <c r="G3" s="30" t="s">
        <v>67</v>
      </c>
      <c r="H3" s="30" t="s">
        <v>31</v>
      </c>
      <c r="I3" s="30">
        <v>2</v>
      </c>
      <c r="J3" s="30">
        <v>2.1</v>
      </c>
      <c r="K3" s="43">
        <v>46235</v>
      </c>
      <c r="L3" s="30" t="s">
        <v>68</v>
      </c>
      <c r="M3" s="30" t="s">
        <v>30</v>
      </c>
      <c r="N3" s="30" t="s">
        <v>69</v>
      </c>
      <c r="O3" s="30"/>
      <c r="P3" s="30" t="s">
        <v>116</v>
      </c>
      <c r="Q3"/>
      <c r="R3" s="30" t="s">
        <v>49</v>
      </c>
      <c r="S3" s="30" t="s">
        <v>44</v>
      </c>
      <c r="T3"/>
    </row>
    <row r="4" spans="1:22" x14ac:dyDescent="0.25">
      <c r="A4" s="30">
        <v>2</v>
      </c>
      <c r="B4" s="30" t="s">
        <v>28</v>
      </c>
      <c r="C4" s="30" t="s">
        <v>70</v>
      </c>
      <c r="D4" s="30" t="s">
        <v>58</v>
      </c>
      <c r="E4" s="30" t="s">
        <v>71</v>
      </c>
      <c r="F4" s="30" t="s">
        <v>72</v>
      </c>
      <c r="G4" s="30" t="s">
        <v>73</v>
      </c>
      <c r="H4" s="30" t="s">
        <v>36</v>
      </c>
      <c r="I4" s="30">
        <v>1</v>
      </c>
      <c r="J4" s="30">
        <v>2.4</v>
      </c>
      <c r="K4" s="43">
        <v>46235</v>
      </c>
      <c r="L4" s="30" t="s">
        <v>74</v>
      </c>
      <c r="M4" s="30" t="s">
        <v>47</v>
      </c>
      <c r="N4" s="30" t="s">
        <v>75</v>
      </c>
      <c r="O4" s="30"/>
      <c r="P4" s="30" t="s">
        <v>117</v>
      </c>
      <c r="R4" s="30" t="s">
        <v>50</v>
      </c>
      <c r="S4" s="30" t="s">
        <v>44</v>
      </c>
    </row>
    <row r="5" spans="1:22" x14ac:dyDescent="0.25">
      <c r="A5" s="30">
        <v>3</v>
      </c>
      <c r="B5" s="30" t="s">
        <v>28</v>
      </c>
      <c r="C5" s="30" t="s">
        <v>64</v>
      </c>
      <c r="D5" s="30" t="s">
        <v>52</v>
      </c>
      <c r="E5" s="30" t="s">
        <v>76</v>
      </c>
      <c r="F5" s="30" t="s">
        <v>77</v>
      </c>
      <c r="G5" s="30" t="s">
        <v>67</v>
      </c>
      <c r="H5" s="30" t="s">
        <v>78</v>
      </c>
      <c r="I5" s="30">
        <v>2</v>
      </c>
      <c r="J5" s="30">
        <v>2.2000000000000002</v>
      </c>
      <c r="K5" s="43">
        <v>46236</v>
      </c>
      <c r="L5" s="30" t="s">
        <v>68</v>
      </c>
      <c r="M5" s="30" t="s">
        <v>30</v>
      </c>
      <c r="N5" s="30" t="s">
        <v>79</v>
      </c>
      <c r="O5" s="30"/>
      <c r="P5" s="30" t="s">
        <v>118</v>
      </c>
      <c r="R5" s="30" t="s">
        <v>51</v>
      </c>
      <c r="S5" s="30" t="s">
        <v>44</v>
      </c>
    </row>
    <row r="6" spans="1:22" x14ac:dyDescent="0.25">
      <c r="A6" s="30">
        <v>4</v>
      </c>
      <c r="B6" s="30" t="s">
        <v>28</v>
      </c>
      <c r="C6" s="30" t="s">
        <v>80</v>
      </c>
      <c r="D6" s="30" t="s">
        <v>61</v>
      </c>
      <c r="E6" s="30" t="s">
        <v>81</v>
      </c>
      <c r="F6" s="30" t="s">
        <v>82</v>
      </c>
      <c r="G6" s="30" t="s">
        <v>83</v>
      </c>
      <c r="H6" s="30" t="s">
        <v>34</v>
      </c>
      <c r="I6" s="30">
        <v>1</v>
      </c>
      <c r="J6" s="30">
        <v>2</v>
      </c>
      <c r="K6" s="43">
        <v>46236</v>
      </c>
      <c r="L6" s="30" t="s">
        <v>74</v>
      </c>
      <c r="M6" s="30" t="s">
        <v>30</v>
      </c>
      <c r="N6" s="30" t="s">
        <v>69</v>
      </c>
      <c r="O6" s="30"/>
      <c r="P6" s="30" t="s">
        <v>117</v>
      </c>
      <c r="R6" s="30" t="s">
        <v>52</v>
      </c>
      <c r="S6" s="30" t="s">
        <v>44</v>
      </c>
    </row>
    <row r="7" spans="1:22" x14ac:dyDescent="0.25">
      <c r="A7" s="30">
        <v>5</v>
      </c>
      <c r="B7" s="30" t="s">
        <v>28</v>
      </c>
      <c r="C7" s="30" t="s">
        <v>64</v>
      </c>
      <c r="D7" s="30" t="s">
        <v>57</v>
      </c>
      <c r="E7" s="30" t="s">
        <v>84</v>
      </c>
      <c r="F7" s="30" t="s">
        <v>85</v>
      </c>
      <c r="G7" s="30" t="s">
        <v>73</v>
      </c>
      <c r="H7" s="30" t="s">
        <v>31</v>
      </c>
      <c r="I7" s="30">
        <v>3</v>
      </c>
      <c r="J7" s="30">
        <v>2.2999999999999998</v>
      </c>
      <c r="K7" s="43">
        <v>46237</v>
      </c>
      <c r="L7" s="30" t="s">
        <v>68</v>
      </c>
      <c r="M7" s="30" t="s">
        <v>47</v>
      </c>
      <c r="N7" s="30" t="s">
        <v>75</v>
      </c>
      <c r="O7" s="30"/>
      <c r="P7" s="30" t="s">
        <v>117</v>
      </c>
      <c r="R7" s="30" t="s">
        <v>53</v>
      </c>
      <c r="S7" s="30" t="s">
        <v>44</v>
      </c>
      <c r="U7" s="1"/>
      <c r="V7" s="1"/>
    </row>
    <row r="8" spans="1:22" x14ac:dyDescent="0.25">
      <c r="A8" s="30">
        <v>6</v>
      </c>
      <c r="B8" s="30" t="s">
        <v>28</v>
      </c>
      <c r="C8" s="30" t="s">
        <v>70</v>
      </c>
      <c r="D8" s="30" t="s">
        <v>59</v>
      </c>
      <c r="E8" s="30" t="s">
        <v>86</v>
      </c>
      <c r="F8" s="30" t="s">
        <v>66</v>
      </c>
      <c r="G8" s="30" t="s">
        <v>67</v>
      </c>
      <c r="H8" s="30" t="s">
        <v>32</v>
      </c>
      <c r="I8" s="30">
        <v>2</v>
      </c>
      <c r="J8" s="30">
        <v>2.5</v>
      </c>
      <c r="K8" s="43">
        <v>46237</v>
      </c>
      <c r="L8" s="30" t="s">
        <v>74</v>
      </c>
      <c r="M8" s="30" t="s">
        <v>30</v>
      </c>
      <c r="N8" s="30" t="s">
        <v>79</v>
      </c>
      <c r="O8" s="30"/>
      <c r="P8" s="30" t="s">
        <v>117</v>
      </c>
      <c r="R8" s="30" t="s">
        <v>54</v>
      </c>
      <c r="S8" s="30" t="s">
        <v>44</v>
      </c>
      <c r="U8" s="1"/>
      <c r="V8" s="1"/>
    </row>
    <row r="9" spans="1:22" x14ac:dyDescent="0.25">
      <c r="A9" s="30">
        <v>7</v>
      </c>
      <c r="B9" s="30" t="s">
        <v>28</v>
      </c>
      <c r="C9" s="30" t="s">
        <v>64</v>
      </c>
      <c r="D9" s="30" t="s">
        <v>63</v>
      </c>
      <c r="E9" s="30" t="s">
        <v>87</v>
      </c>
      <c r="F9" s="30" t="s">
        <v>88</v>
      </c>
      <c r="G9" s="30" t="s">
        <v>89</v>
      </c>
      <c r="H9" s="30" t="s">
        <v>29</v>
      </c>
      <c r="I9" s="30">
        <v>1</v>
      </c>
      <c r="J9" s="30">
        <v>2.1</v>
      </c>
      <c r="K9" s="43">
        <v>46238</v>
      </c>
      <c r="L9" s="30" t="s">
        <v>68</v>
      </c>
      <c r="M9" s="30" t="s">
        <v>47</v>
      </c>
      <c r="N9" s="30" t="s">
        <v>69</v>
      </c>
      <c r="O9" s="30"/>
      <c r="P9" s="30" t="s">
        <v>117</v>
      </c>
      <c r="R9" s="30" t="s">
        <v>55</v>
      </c>
      <c r="S9" s="30" t="s">
        <v>44</v>
      </c>
      <c r="U9" s="1"/>
      <c r="V9" s="1"/>
    </row>
    <row r="10" spans="1:22" x14ac:dyDescent="0.25">
      <c r="A10" s="30">
        <v>8</v>
      </c>
      <c r="B10" s="30" t="s">
        <v>28</v>
      </c>
      <c r="C10" s="30" t="s">
        <v>80</v>
      </c>
      <c r="D10" s="30" t="s">
        <v>53</v>
      </c>
      <c r="E10" s="30" t="s">
        <v>90</v>
      </c>
      <c r="F10" s="30" t="s">
        <v>72</v>
      </c>
      <c r="G10" s="30" t="s">
        <v>83</v>
      </c>
      <c r="H10" s="30" t="s">
        <v>31</v>
      </c>
      <c r="I10" s="30">
        <v>2</v>
      </c>
      <c r="J10" s="30">
        <v>2.4</v>
      </c>
      <c r="K10" s="43">
        <v>46238</v>
      </c>
      <c r="L10" s="30" t="s">
        <v>74</v>
      </c>
      <c r="M10" s="30" t="s">
        <v>30</v>
      </c>
      <c r="N10" s="30" t="s">
        <v>75</v>
      </c>
      <c r="O10" s="30"/>
      <c r="P10" s="30" t="s">
        <v>117</v>
      </c>
      <c r="R10" s="30" t="s">
        <v>56</v>
      </c>
      <c r="S10" s="30" t="s">
        <v>44</v>
      </c>
      <c r="U10" s="1"/>
      <c r="V10" s="1"/>
    </row>
    <row r="11" spans="1:22" x14ac:dyDescent="0.25">
      <c r="A11" s="30">
        <v>9</v>
      </c>
      <c r="B11" s="30" t="s">
        <v>28</v>
      </c>
      <c r="C11" s="30" t="s">
        <v>64</v>
      </c>
      <c r="D11" s="30" t="s">
        <v>51</v>
      </c>
      <c r="E11" s="30" t="s">
        <v>91</v>
      </c>
      <c r="F11" s="30" t="s">
        <v>77</v>
      </c>
      <c r="G11" s="30" t="s">
        <v>67</v>
      </c>
      <c r="H11" s="30" t="s">
        <v>35</v>
      </c>
      <c r="I11" s="30">
        <v>1</v>
      </c>
      <c r="J11" s="30">
        <v>2.2000000000000002</v>
      </c>
      <c r="K11" s="43">
        <v>46239</v>
      </c>
      <c r="L11" s="30" t="s">
        <v>68</v>
      </c>
      <c r="M11" s="30" t="s">
        <v>30</v>
      </c>
      <c r="N11" s="30" t="s">
        <v>79</v>
      </c>
      <c r="O11" s="30"/>
      <c r="P11" s="30" t="s">
        <v>116</v>
      </c>
      <c r="R11" s="30" t="s">
        <v>57</v>
      </c>
      <c r="S11" s="30" t="s">
        <v>44</v>
      </c>
      <c r="U11" s="1"/>
      <c r="V11" s="1"/>
    </row>
    <row r="12" spans="1:22" x14ac:dyDescent="0.25">
      <c r="A12" s="30">
        <v>10</v>
      </c>
      <c r="B12" s="30" t="s">
        <v>113</v>
      </c>
      <c r="C12" s="30" t="s">
        <v>70</v>
      </c>
      <c r="D12" s="30" t="s">
        <v>52</v>
      </c>
      <c r="E12" s="30" t="s">
        <v>92</v>
      </c>
      <c r="F12" s="30" t="s">
        <v>82</v>
      </c>
      <c r="G12" s="30" t="s">
        <v>73</v>
      </c>
      <c r="H12" s="30" t="s">
        <v>78</v>
      </c>
      <c r="I12" s="30">
        <v>2</v>
      </c>
      <c r="J12" s="30">
        <v>2</v>
      </c>
      <c r="K12" s="43">
        <v>46239</v>
      </c>
      <c r="L12" s="30" t="s">
        <v>74</v>
      </c>
      <c r="M12" s="30" t="s">
        <v>47</v>
      </c>
      <c r="N12" s="30" t="s">
        <v>75</v>
      </c>
      <c r="O12" s="30"/>
      <c r="P12" s="30" t="s">
        <v>116</v>
      </c>
      <c r="R12" s="30" t="s">
        <v>58</v>
      </c>
      <c r="S12" s="30" t="s">
        <v>44</v>
      </c>
      <c r="U12" s="1"/>
      <c r="V12" s="1"/>
    </row>
    <row r="13" spans="1:22" x14ac:dyDescent="0.25">
      <c r="A13" s="30">
        <v>11</v>
      </c>
      <c r="B13" s="30" t="s">
        <v>28</v>
      </c>
      <c r="C13" s="30" t="s">
        <v>64</v>
      </c>
      <c r="D13" s="30" t="s">
        <v>58</v>
      </c>
      <c r="E13" s="30" t="s">
        <v>93</v>
      </c>
      <c r="F13" s="30" t="s">
        <v>85</v>
      </c>
      <c r="G13" s="30" t="s">
        <v>89</v>
      </c>
      <c r="H13" s="30" t="s">
        <v>31</v>
      </c>
      <c r="I13" s="30">
        <v>1</v>
      </c>
      <c r="J13" s="30">
        <v>2.2999999999999998</v>
      </c>
      <c r="K13" s="43">
        <v>46240</v>
      </c>
      <c r="L13" s="30" t="s">
        <v>68</v>
      </c>
      <c r="M13" s="30" t="s">
        <v>30</v>
      </c>
      <c r="N13" s="30" t="s">
        <v>69</v>
      </c>
      <c r="O13" s="30"/>
      <c r="P13" s="30" t="s">
        <v>116</v>
      </c>
      <c r="R13" s="41" t="s">
        <v>59</v>
      </c>
      <c r="S13" s="30" t="s">
        <v>44</v>
      </c>
      <c r="U13" s="1"/>
      <c r="V13" s="1"/>
    </row>
    <row r="14" spans="1:22" x14ac:dyDescent="0.25">
      <c r="A14" s="30">
        <v>12</v>
      </c>
      <c r="B14" s="30" t="s">
        <v>28</v>
      </c>
      <c r="C14" s="30" t="s">
        <v>70</v>
      </c>
      <c r="D14" s="30" t="s">
        <v>61</v>
      </c>
      <c r="E14" s="50" t="s">
        <v>94</v>
      </c>
      <c r="F14" s="30" t="s">
        <v>66</v>
      </c>
      <c r="G14" s="30" t="s">
        <v>83</v>
      </c>
      <c r="H14" s="30" t="s">
        <v>34</v>
      </c>
      <c r="I14" s="30">
        <v>2</v>
      </c>
      <c r="J14" s="30">
        <v>2.5</v>
      </c>
      <c r="K14" s="43">
        <v>46240</v>
      </c>
      <c r="L14" s="30" t="s">
        <v>74</v>
      </c>
      <c r="M14" s="30" t="s">
        <v>47</v>
      </c>
      <c r="N14" s="30" t="s">
        <v>79</v>
      </c>
      <c r="O14" s="30"/>
      <c r="P14" s="30" t="s">
        <v>116</v>
      </c>
      <c r="R14" s="42" t="s">
        <v>60</v>
      </c>
      <c r="S14" s="32" t="s">
        <v>44</v>
      </c>
      <c r="U14" s="1"/>
      <c r="V14" s="1"/>
    </row>
    <row r="15" spans="1:22" x14ac:dyDescent="0.25">
      <c r="A15" s="30">
        <v>13</v>
      </c>
      <c r="B15" s="30" t="s">
        <v>28</v>
      </c>
      <c r="C15" s="30" t="s">
        <v>64</v>
      </c>
      <c r="D15" s="30" t="s">
        <v>59</v>
      </c>
      <c r="E15" s="50" t="s">
        <v>95</v>
      </c>
      <c r="F15" s="30" t="s">
        <v>88</v>
      </c>
      <c r="G15" s="30" t="s">
        <v>67</v>
      </c>
      <c r="H15" s="30" t="s">
        <v>29</v>
      </c>
      <c r="I15" s="30">
        <v>1</v>
      </c>
      <c r="J15" s="30">
        <v>2.1</v>
      </c>
      <c r="K15" s="43">
        <v>46241</v>
      </c>
      <c r="L15" s="30" t="s">
        <v>68</v>
      </c>
      <c r="M15" s="30" t="s">
        <v>30</v>
      </c>
      <c r="N15" s="30" t="s">
        <v>75</v>
      </c>
      <c r="O15" s="30"/>
      <c r="P15" s="30" t="s">
        <v>116</v>
      </c>
      <c r="R15" s="42" t="s">
        <v>61</v>
      </c>
      <c r="S15" s="32" t="s">
        <v>44</v>
      </c>
      <c r="U15" s="1"/>
      <c r="V15" s="1"/>
    </row>
    <row r="16" spans="1:22" x14ac:dyDescent="0.25">
      <c r="A16" s="30">
        <v>14</v>
      </c>
      <c r="B16" s="30" t="s">
        <v>113</v>
      </c>
      <c r="C16" s="30" t="s">
        <v>80</v>
      </c>
      <c r="D16" s="30" t="s">
        <v>63</v>
      </c>
      <c r="E16" s="50" t="s">
        <v>96</v>
      </c>
      <c r="F16" s="30" t="s">
        <v>72</v>
      </c>
      <c r="G16" s="30" t="s">
        <v>73</v>
      </c>
      <c r="H16" s="30" t="s">
        <v>32</v>
      </c>
      <c r="I16" s="30">
        <v>2</v>
      </c>
      <c r="J16" s="30">
        <v>2.4</v>
      </c>
      <c r="K16" s="43">
        <v>46241</v>
      </c>
      <c r="L16" s="30" t="s">
        <v>74</v>
      </c>
      <c r="M16" s="30" t="s">
        <v>30</v>
      </c>
      <c r="N16" s="30" t="s">
        <v>69</v>
      </c>
      <c r="O16" s="30"/>
      <c r="P16" s="30" t="s">
        <v>116</v>
      </c>
      <c r="R16" s="52" t="s">
        <v>62</v>
      </c>
      <c r="S16" s="32" t="s">
        <v>44</v>
      </c>
      <c r="U16" s="1"/>
      <c r="V16" s="1"/>
    </row>
    <row r="17" spans="1:19" x14ac:dyDescent="0.25">
      <c r="A17" s="30">
        <v>15</v>
      </c>
      <c r="B17" s="30" t="s">
        <v>28</v>
      </c>
      <c r="C17" s="30" t="s">
        <v>64</v>
      </c>
      <c r="D17" s="30" t="s">
        <v>53</v>
      </c>
      <c r="E17" s="50" t="s">
        <v>97</v>
      </c>
      <c r="F17" s="30" t="s">
        <v>77</v>
      </c>
      <c r="G17" s="30" t="s">
        <v>89</v>
      </c>
      <c r="H17" s="30" t="s">
        <v>31</v>
      </c>
      <c r="I17" s="30">
        <v>3</v>
      </c>
      <c r="J17" s="30">
        <v>2.2000000000000002</v>
      </c>
      <c r="K17" s="43">
        <v>46242</v>
      </c>
      <c r="L17" s="30" t="s">
        <v>68</v>
      </c>
      <c r="M17" s="30" t="s">
        <v>47</v>
      </c>
      <c r="N17" s="30" t="s">
        <v>75</v>
      </c>
      <c r="O17" s="30"/>
      <c r="P17" s="30" t="s">
        <v>116</v>
      </c>
      <c r="R17" s="52" t="s">
        <v>63</v>
      </c>
      <c r="S17" s="32" t="s">
        <v>44</v>
      </c>
    </row>
    <row r="18" spans="1:19" x14ac:dyDescent="0.25">
      <c r="A18" s="30">
        <v>16</v>
      </c>
      <c r="B18" s="30" t="s">
        <v>113</v>
      </c>
      <c r="C18" s="30" t="s">
        <v>70</v>
      </c>
      <c r="D18" s="30" t="s">
        <v>51</v>
      </c>
      <c r="E18" s="50" t="s">
        <v>98</v>
      </c>
      <c r="F18" s="30" t="s">
        <v>82</v>
      </c>
      <c r="G18" s="30" t="s">
        <v>83</v>
      </c>
      <c r="H18" s="30" t="s">
        <v>36</v>
      </c>
      <c r="I18" s="30">
        <v>1</v>
      </c>
      <c r="J18" s="30">
        <v>2.2999999999999998</v>
      </c>
      <c r="K18" s="43">
        <v>46242</v>
      </c>
      <c r="L18" s="30" t="s">
        <v>74</v>
      </c>
      <c r="M18" s="30" t="s">
        <v>30</v>
      </c>
      <c r="N18" s="30" t="s">
        <v>79</v>
      </c>
      <c r="O18" s="30"/>
      <c r="P18" s="30" t="s">
        <v>118</v>
      </c>
    </row>
    <row r="19" spans="1:19" x14ac:dyDescent="0.25">
      <c r="A19" s="30">
        <v>17</v>
      </c>
      <c r="B19" s="30" t="s">
        <v>28</v>
      </c>
      <c r="C19" s="30" t="s">
        <v>64</v>
      </c>
      <c r="D19" s="30" t="s">
        <v>58</v>
      </c>
      <c r="E19" s="50" t="s">
        <v>99</v>
      </c>
      <c r="F19" s="30" t="s">
        <v>85</v>
      </c>
      <c r="G19" s="30" t="s">
        <v>67</v>
      </c>
      <c r="H19" s="30" t="s">
        <v>78</v>
      </c>
      <c r="I19" s="30">
        <v>2</v>
      </c>
      <c r="J19" s="30">
        <v>2.5</v>
      </c>
      <c r="K19" s="43">
        <v>46243</v>
      </c>
      <c r="L19" s="30" t="s">
        <v>68</v>
      </c>
      <c r="M19" s="30" t="s">
        <v>47</v>
      </c>
      <c r="N19" s="30" t="s">
        <v>69</v>
      </c>
      <c r="O19" s="30"/>
      <c r="P19" s="30" t="s">
        <v>118</v>
      </c>
    </row>
    <row r="20" spans="1:19" x14ac:dyDescent="0.25">
      <c r="A20" s="30">
        <v>18</v>
      </c>
      <c r="B20" s="30" t="s">
        <v>28</v>
      </c>
      <c r="C20" s="30" t="s">
        <v>64</v>
      </c>
      <c r="D20" s="30" t="s">
        <v>52</v>
      </c>
      <c r="E20" s="50" t="s">
        <v>100</v>
      </c>
      <c r="F20" s="30" t="s">
        <v>66</v>
      </c>
      <c r="G20" s="30" t="s">
        <v>73</v>
      </c>
      <c r="H20" s="30" t="s">
        <v>31</v>
      </c>
      <c r="I20" s="30">
        <v>1</v>
      </c>
      <c r="J20" s="30">
        <v>2.1</v>
      </c>
      <c r="K20" s="43">
        <v>46244</v>
      </c>
      <c r="L20" s="30" t="s">
        <v>74</v>
      </c>
      <c r="M20" s="30" t="s">
        <v>30</v>
      </c>
      <c r="N20" s="30" t="s">
        <v>75</v>
      </c>
      <c r="O20" s="30"/>
      <c r="P20" s="30" t="s">
        <v>118</v>
      </c>
    </row>
    <row r="21" spans="1:19" x14ac:dyDescent="0.25">
      <c r="A21" s="30">
        <v>19</v>
      </c>
      <c r="B21" s="30" t="s">
        <v>28</v>
      </c>
      <c r="C21" s="30" t="s">
        <v>70</v>
      </c>
      <c r="D21" s="30" t="s">
        <v>61</v>
      </c>
      <c r="E21" s="50" t="s">
        <v>101</v>
      </c>
      <c r="F21" s="30" t="s">
        <v>88</v>
      </c>
      <c r="G21" s="30" t="s">
        <v>89</v>
      </c>
      <c r="H21" s="30" t="s">
        <v>32</v>
      </c>
      <c r="I21" s="30">
        <v>2</v>
      </c>
      <c r="J21" s="30">
        <v>2.4</v>
      </c>
      <c r="K21" s="43">
        <v>46244</v>
      </c>
      <c r="L21" s="30" t="s">
        <v>68</v>
      </c>
      <c r="M21" s="30" t="s">
        <v>47</v>
      </c>
      <c r="N21" s="30" t="s">
        <v>79</v>
      </c>
      <c r="O21" s="30"/>
      <c r="P21" s="30" t="s">
        <v>118</v>
      </c>
    </row>
    <row r="22" spans="1:19" x14ac:dyDescent="0.25">
      <c r="A22" s="30">
        <v>20</v>
      </c>
      <c r="B22" s="30" t="s">
        <v>113</v>
      </c>
      <c r="C22" s="30" t="s">
        <v>80</v>
      </c>
      <c r="D22" s="30" t="s">
        <v>59</v>
      </c>
      <c r="E22" s="50" t="s">
        <v>102</v>
      </c>
      <c r="F22" s="30" t="s">
        <v>72</v>
      </c>
      <c r="G22" s="30" t="s">
        <v>83</v>
      </c>
      <c r="H22" s="30" t="s">
        <v>29</v>
      </c>
      <c r="I22" s="30">
        <v>1</v>
      </c>
      <c r="J22" s="30">
        <v>2.2000000000000002</v>
      </c>
      <c r="K22" s="43">
        <v>46245</v>
      </c>
      <c r="L22" s="30" t="s">
        <v>74</v>
      </c>
      <c r="M22" s="30" t="s">
        <v>30</v>
      </c>
      <c r="N22" s="30" t="s">
        <v>69</v>
      </c>
      <c r="O22" s="30"/>
      <c r="P22" s="30" t="s">
        <v>118</v>
      </c>
    </row>
    <row r="23" spans="1:19" x14ac:dyDescent="0.25">
      <c r="A23" s="30">
        <v>21</v>
      </c>
      <c r="B23" s="30" t="s">
        <v>28</v>
      </c>
      <c r="C23" s="30" t="s">
        <v>64</v>
      </c>
      <c r="D23" s="30" t="s">
        <v>63</v>
      </c>
      <c r="E23" s="50" t="s">
        <v>103</v>
      </c>
      <c r="F23" s="30" t="s">
        <v>77</v>
      </c>
      <c r="G23" s="30" t="s">
        <v>67</v>
      </c>
      <c r="H23" s="30" t="s">
        <v>34</v>
      </c>
      <c r="I23" s="30">
        <v>2</v>
      </c>
      <c r="J23" s="30">
        <v>2</v>
      </c>
      <c r="K23" s="43">
        <v>46245</v>
      </c>
      <c r="L23" s="30" t="s">
        <v>68</v>
      </c>
      <c r="M23" s="30" t="s">
        <v>47</v>
      </c>
      <c r="N23" s="30" t="s">
        <v>75</v>
      </c>
      <c r="O23" s="30"/>
      <c r="P23" s="30" t="s">
        <v>116</v>
      </c>
    </row>
    <row r="24" spans="1:19" x14ac:dyDescent="0.25">
      <c r="A24" s="30">
        <v>22</v>
      </c>
      <c r="B24" s="30" t="s">
        <v>28</v>
      </c>
      <c r="C24" s="30" t="s">
        <v>70</v>
      </c>
      <c r="D24" s="30" t="s">
        <v>53</v>
      </c>
      <c r="E24" s="50" t="s">
        <v>104</v>
      </c>
      <c r="F24" s="30" t="s">
        <v>82</v>
      </c>
      <c r="G24" s="30" t="s">
        <v>73</v>
      </c>
      <c r="H24" s="30" t="s">
        <v>31</v>
      </c>
      <c r="I24" s="30">
        <v>1</v>
      </c>
      <c r="J24" s="30">
        <v>2.2999999999999998</v>
      </c>
      <c r="K24" s="43">
        <v>46246</v>
      </c>
      <c r="L24" s="30" t="s">
        <v>74</v>
      </c>
      <c r="M24" s="30" t="s">
        <v>30</v>
      </c>
      <c r="N24" s="30" t="s">
        <v>79</v>
      </c>
      <c r="O24" s="30"/>
      <c r="P24" s="30" t="s">
        <v>116</v>
      </c>
    </row>
    <row r="25" spans="1:19" x14ac:dyDescent="0.25">
      <c r="A25" s="30">
        <v>23</v>
      </c>
      <c r="B25" s="30" t="s">
        <v>113</v>
      </c>
      <c r="C25" s="30" t="s">
        <v>64</v>
      </c>
      <c r="D25" s="30" t="s">
        <v>51</v>
      </c>
      <c r="E25" s="50" t="s">
        <v>105</v>
      </c>
      <c r="F25" s="30" t="s">
        <v>85</v>
      </c>
      <c r="G25" s="30" t="s">
        <v>89</v>
      </c>
      <c r="H25" s="30" t="s">
        <v>36</v>
      </c>
      <c r="I25" s="30">
        <v>2</v>
      </c>
      <c r="J25" s="30">
        <v>2.5</v>
      </c>
      <c r="K25" s="43">
        <v>46246</v>
      </c>
      <c r="L25" s="30" t="s">
        <v>68</v>
      </c>
      <c r="M25" s="30" t="s">
        <v>30</v>
      </c>
      <c r="N25" s="30" t="s">
        <v>69</v>
      </c>
      <c r="O25" s="30"/>
      <c r="P25" s="30" t="s">
        <v>116</v>
      </c>
    </row>
    <row r="26" spans="1:19" x14ac:dyDescent="0.25">
      <c r="A26" s="30">
        <v>24</v>
      </c>
      <c r="B26" s="30" t="s">
        <v>113</v>
      </c>
      <c r="C26" s="30" t="s">
        <v>64</v>
      </c>
      <c r="D26" s="30" t="s">
        <v>52</v>
      </c>
      <c r="E26" s="50" t="s">
        <v>106</v>
      </c>
      <c r="F26" s="30" t="s">
        <v>66</v>
      </c>
      <c r="G26" s="30" t="s">
        <v>83</v>
      </c>
      <c r="H26" s="30" t="s">
        <v>78</v>
      </c>
      <c r="I26" s="30">
        <v>1</v>
      </c>
      <c r="J26" s="30">
        <v>2.1</v>
      </c>
      <c r="K26" s="43">
        <v>46247</v>
      </c>
      <c r="L26" s="30" t="s">
        <v>74</v>
      </c>
      <c r="M26" s="30" t="s">
        <v>47</v>
      </c>
      <c r="N26" s="30" t="s">
        <v>75</v>
      </c>
      <c r="O26" s="30"/>
      <c r="P26" s="30" t="s">
        <v>116</v>
      </c>
    </row>
    <row r="27" spans="1:19" x14ac:dyDescent="0.25">
      <c r="A27" s="30">
        <v>25</v>
      </c>
      <c r="B27" s="30" t="s">
        <v>28</v>
      </c>
      <c r="C27" s="30" t="s">
        <v>70</v>
      </c>
      <c r="D27" s="30" t="s">
        <v>58</v>
      </c>
      <c r="E27" s="50" t="s">
        <v>107</v>
      </c>
      <c r="F27" s="30" t="s">
        <v>88</v>
      </c>
      <c r="G27" s="30" t="s">
        <v>67</v>
      </c>
      <c r="H27" s="30" t="s">
        <v>31</v>
      </c>
      <c r="I27" s="30">
        <v>3</v>
      </c>
      <c r="J27" s="30">
        <v>2.4</v>
      </c>
      <c r="K27" s="43">
        <v>46247</v>
      </c>
      <c r="L27" s="30" t="s">
        <v>68</v>
      </c>
      <c r="M27" s="30" t="s">
        <v>30</v>
      </c>
      <c r="N27" s="30" t="s">
        <v>79</v>
      </c>
      <c r="O27" s="30"/>
      <c r="P27" s="30" t="s">
        <v>116</v>
      </c>
    </row>
    <row r="28" spans="1:19" x14ac:dyDescent="0.25">
      <c r="A28" s="30">
        <v>26</v>
      </c>
      <c r="B28" s="30" t="s">
        <v>28</v>
      </c>
      <c r="C28" s="30" t="s">
        <v>80</v>
      </c>
      <c r="D28" s="30" t="s">
        <v>61</v>
      </c>
      <c r="E28" s="50" t="s">
        <v>108</v>
      </c>
      <c r="F28" s="30" t="s">
        <v>72</v>
      </c>
      <c r="G28" s="30" t="s">
        <v>73</v>
      </c>
      <c r="H28" s="30" t="s">
        <v>32</v>
      </c>
      <c r="I28" s="30">
        <v>2</v>
      </c>
      <c r="J28" s="30">
        <v>2.2000000000000002</v>
      </c>
      <c r="K28" s="43">
        <v>46248</v>
      </c>
      <c r="L28" s="30" t="s">
        <v>74</v>
      </c>
      <c r="M28" s="30" t="s">
        <v>47</v>
      </c>
      <c r="N28" s="30" t="s">
        <v>69</v>
      </c>
      <c r="O28" s="30"/>
      <c r="P28" s="30" t="s">
        <v>118</v>
      </c>
    </row>
    <row r="29" spans="1:19" x14ac:dyDescent="0.25">
      <c r="A29" s="30">
        <v>27</v>
      </c>
      <c r="B29" s="30" t="s">
        <v>28</v>
      </c>
      <c r="C29" s="30" t="s">
        <v>64</v>
      </c>
      <c r="D29" s="30" t="s">
        <v>59</v>
      </c>
      <c r="E29" s="50" t="s">
        <v>109</v>
      </c>
      <c r="F29" s="30" t="s">
        <v>82</v>
      </c>
      <c r="G29" s="30" t="s">
        <v>89</v>
      </c>
      <c r="H29" s="30" t="s">
        <v>29</v>
      </c>
      <c r="I29" s="30">
        <v>1</v>
      </c>
      <c r="J29" s="30">
        <v>2.2999999999999998</v>
      </c>
      <c r="K29" s="43">
        <v>46249</v>
      </c>
      <c r="L29" s="30" t="s">
        <v>68</v>
      </c>
      <c r="M29" s="30" t="s">
        <v>30</v>
      </c>
      <c r="N29" s="30" t="s">
        <v>75</v>
      </c>
      <c r="O29" s="30"/>
      <c r="P29" s="30" t="s">
        <v>118</v>
      </c>
    </row>
    <row r="30" spans="1:19" x14ac:dyDescent="0.25">
      <c r="A30" s="30">
        <v>28</v>
      </c>
      <c r="B30" s="30" t="s">
        <v>28</v>
      </c>
      <c r="C30" s="30" t="s">
        <v>70</v>
      </c>
      <c r="D30" s="30" t="s">
        <v>63</v>
      </c>
      <c r="E30" s="50" t="s">
        <v>110</v>
      </c>
      <c r="F30" s="30" t="s">
        <v>77</v>
      </c>
      <c r="G30" s="30" t="s">
        <v>83</v>
      </c>
      <c r="H30" s="30" t="s">
        <v>35</v>
      </c>
      <c r="I30" s="30">
        <v>2</v>
      </c>
      <c r="J30" s="30">
        <v>2.5</v>
      </c>
      <c r="K30" s="43">
        <v>46249</v>
      </c>
      <c r="L30" s="30" t="s">
        <v>74</v>
      </c>
      <c r="M30" s="30" t="s">
        <v>30</v>
      </c>
      <c r="N30" s="30" t="s">
        <v>79</v>
      </c>
      <c r="O30" s="30"/>
      <c r="P30" s="30" t="s">
        <v>118</v>
      </c>
    </row>
    <row r="31" spans="1:19" x14ac:dyDescent="0.25">
      <c r="A31" s="30">
        <v>29</v>
      </c>
      <c r="B31" s="30" t="s">
        <v>28</v>
      </c>
      <c r="C31" s="30" t="s">
        <v>64</v>
      </c>
      <c r="D31" s="30" t="s">
        <v>53</v>
      </c>
      <c r="E31" s="30" t="s">
        <v>111</v>
      </c>
      <c r="F31" s="30" t="s">
        <v>85</v>
      </c>
      <c r="G31" s="30" t="s">
        <v>67</v>
      </c>
      <c r="H31" s="30" t="s">
        <v>31</v>
      </c>
      <c r="I31" s="30">
        <v>1</v>
      </c>
      <c r="J31" s="30">
        <v>2.1</v>
      </c>
      <c r="K31" s="43">
        <v>46250</v>
      </c>
      <c r="L31" s="30" t="s">
        <v>68</v>
      </c>
      <c r="M31" s="30" t="s">
        <v>47</v>
      </c>
      <c r="N31" s="30" t="s">
        <v>69</v>
      </c>
      <c r="O31" s="30"/>
      <c r="P31" s="30" t="s">
        <v>118</v>
      </c>
    </row>
    <row r="32" spans="1:19" x14ac:dyDescent="0.25">
      <c r="A32" s="30">
        <v>30</v>
      </c>
      <c r="B32" s="30" t="s">
        <v>28</v>
      </c>
      <c r="C32" s="30" t="s">
        <v>64</v>
      </c>
      <c r="D32" s="30" t="s">
        <v>51</v>
      </c>
      <c r="E32" s="30" t="s">
        <v>112</v>
      </c>
      <c r="F32" s="30" t="s">
        <v>66</v>
      </c>
      <c r="G32" s="30" t="s">
        <v>73</v>
      </c>
      <c r="H32" s="30" t="s">
        <v>34</v>
      </c>
      <c r="I32" s="30">
        <v>2</v>
      </c>
      <c r="J32" s="30">
        <v>2.4</v>
      </c>
      <c r="K32" s="43">
        <v>46250</v>
      </c>
      <c r="L32" s="30" t="s">
        <v>74</v>
      </c>
      <c r="M32" s="30" t="s">
        <v>30</v>
      </c>
      <c r="N32" s="30" t="s">
        <v>75</v>
      </c>
      <c r="O32" s="30"/>
      <c r="P32" s="30" t="s">
        <v>118</v>
      </c>
    </row>
  </sheetData>
  <mergeCells count="1">
    <mergeCell ref="A1:P1"/>
  </mergeCells>
  <phoneticPr fontId="2" type="noConversion"/>
  <conditionalFormatting sqref="E3:E7">
    <cfRule type="duplicateValues" dxfId="7" priority="3"/>
    <cfRule type="duplicateValues" dxfId="6" priority="4"/>
  </conditionalFormatting>
  <conditionalFormatting sqref="E3:E13 E31:E32">
    <cfRule type="duplicateValues" dxfId="5" priority="307"/>
    <cfRule type="duplicateValues" dxfId="4" priority="308"/>
    <cfRule type="duplicateValues" dxfId="3" priority="309"/>
  </conditionalFormatting>
  <conditionalFormatting sqref="E8:E13">
    <cfRule type="duplicateValues" dxfId="2" priority="1"/>
    <cfRule type="duplicateValues" dxfId="1" priority="2"/>
  </conditionalFormatting>
  <conditionalFormatting sqref="R3:R17">
    <cfRule type="duplicateValues" dxfId="0" priority="21"/>
  </conditionalFormatting>
  <dataValidations disablePrompts="1" count="1">
    <dataValidation type="list" allowBlank="1" showInputMessage="1" showErrorMessage="1" sqref="Q3" xr:uid="{1BEACA18-0570-4070-B1C8-228C1AFEEC00}">
      <formula1>$D$3:$D$32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5D26-3EFD-4BF8-88D9-095CABBCDF3C}">
  <dimension ref="A1:A14"/>
  <sheetViews>
    <sheetView workbookViewId="0">
      <selection activeCell="A2" sqref="A2"/>
    </sheetView>
  </sheetViews>
  <sheetFormatPr defaultRowHeight="15" x14ac:dyDescent="0.25"/>
  <cols>
    <col min="1" max="1" width="11" customWidth="1"/>
  </cols>
  <sheetData>
    <row r="1" spans="1:1" x14ac:dyDescent="0.25">
      <c r="A1" s="51" t="s">
        <v>46</v>
      </c>
    </row>
    <row r="2" spans="1:1" x14ac:dyDescent="0.25">
      <c r="A2" s="31" t="s">
        <v>114</v>
      </c>
    </row>
    <row r="3" spans="1:1" x14ac:dyDescent="0.25">
      <c r="A3" s="30" t="s">
        <v>31</v>
      </c>
    </row>
    <row r="4" spans="1:1" x14ac:dyDescent="0.25">
      <c r="A4" s="30" t="s">
        <v>29</v>
      </c>
    </row>
    <row r="5" spans="1:1" x14ac:dyDescent="0.25">
      <c r="A5" s="30" t="s">
        <v>32</v>
      </c>
    </row>
    <row r="6" spans="1:1" x14ac:dyDescent="0.25">
      <c r="A6" s="30" t="s">
        <v>33</v>
      </c>
    </row>
    <row r="7" spans="1:1" x14ac:dyDescent="0.25">
      <c r="A7" s="30" t="s">
        <v>34</v>
      </c>
    </row>
    <row r="8" spans="1:1" x14ac:dyDescent="0.25">
      <c r="A8" s="30" t="s">
        <v>35</v>
      </c>
    </row>
    <row r="9" spans="1:1" x14ac:dyDescent="0.25">
      <c r="A9" s="30" t="s">
        <v>36</v>
      </c>
    </row>
    <row r="10" spans="1:1" x14ac:dyDescent="0.25">
      <c r="A10" s="30" t="s">
        <v>38</v>
      </c>
    </row>
    <row r="11" spans="1:1" x14ac:dyDescent="0.25">
      <c r="A11" s="30" t="s">
        <v>37</v>
      </c>
    </row>
    <row r="12" spans="1:1" x14ac:dyDescent="0.25">
      <c r="A12" s="30"/>
    </row>
    <row r="13" spans="1:1" x14ac:dyDescent="0.25">
      <c r="A13" s="30"/>
    </row>
    <row r="14" spans="1:1" x14ac:dyDescent="0.25">
      <c r="A14" s="3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CAD DESIGNER REPORT</vt:lpstr>
      <vt:lpstr>CAD DATA SOURCE</vt:lpstr>
      <vt:lpstr>STATICS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CAD-SERVER</dc:creator>
  <cp:lastModifiedBy>Mawsim</cp:lastModifiedBy>
  <cp:lastPrinted>2026-08-12T05:00:21Z</cp:lastPrinted>
  <dcterms:created xsi:type="dcterms:W3CDTF">2015-06-05T18:17:20Z</dcterms:created>
  <dcterms:modified xsi:type="dcterms:W3CDTF">2026-09-12T04:44:17Z</dcterms:modified>
</cp:coreProperties>
</file>